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11865" firstSheet="1" activeTab="1"/>
  </bookViews>
  <sheets>
    <sheet name="FEES PAYMENT STATUS" sheetId="1" state="hidden" r:id="rId1"/>
    <sheet name="FULL STUDENT LIST" sheetId="3" r:id="rId2"/>
    <sheet name="ONLINE" sheetId="5" r:id="rId3"/>
  </sheets>
  <definedNames>
    <definedName name="_xlnm._FilterDatabase" localSheetId="0" hidden="1">'FEES PAYMENT STATUS'!$N$1:$N$721</definedName>
    <definedName name="_xlnm._FilterDatabase" localSheetId="1" hidden="1">'FULL STUDENT LIST'!$A$1:$AF$200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3" i="3" l="1"/>
  <c r="C164" i="3"/>
  <c r="C165" i="3"/>
  <c r="C166" i="3"/>
  <c r="C167" i="3"/>
  <c r="C168" i="3"/>
  <c r="C170" i="3"/>
  <c r="C171" i="3"/>
  <c r="C172" i="3"/>
  <c r="J2" i="5"/>
  <c r="J3" i="5"/>
  <c r="J4" i="5"/>
  <c r="J5" i="5"/>
  <c r="J17" i="5" s="1"/>
  <c r="J6" i="5"/>
  <c r="J7" i="5"/>
  <c r="J8" i="5"/>
  <c r="J9" i="5"/>
  <c r="J10" i="5"/>
  <c r="J11" i="5"/>
  <c r="J12" i="5"/>
  <c r="J14" i="5"/>
  <c r="J15" i="5"/>
  <c r="J16" i="5"/>
  <c r="G17" i="5"/>
  <c r="H17" i="5"/>
  <c r="I17" i="5"/>
  <c r="H43" i="1" l="1"/>
  <c r="J43" i="1"/>
  <c r="K43" i="1"/>
  <c r="I43" i="1"/>
  <c r="F43" i="1"/>
  <c r="G43" i="1"/>
</calcChain>
</file>

<file path=xl/sharedStrings.xml><?xml version="1.0" encoding="utf-8"?>
<sst xmlns="http://schemas.openxmlformats.org/spreadsheetml/2006/main" count="1799" uniqueCount="780">
  <si>
    <t>FEES PAYMENT SCHEDULE JUNE 2025</t>
  </si>
  <si>
    <t>NAME</t>
  </si>
  <si>
    <t>CLASS</t>
  </si>
  <si>
    <t>ADM FEES</t>
  </si>
  <si>
    <t>REMARKS</t>
  </si>
  <si>
    <t>SUSAN NAMUNGOMA</t>
  </si>
  <si>
    <t>A1</t>
  </si>
  <si>
    <t>AISHA DADA BARASA</t>
  </si>
  <si>
    <t>JAMES SIMIYU</t>
  </si>
  <si>
    <t>AFWAI KARINA PATTLYNN</t>
  </si>
  <si>
    <t>METRINE WANJIKU</t>
  </si>
  <si>
    <t>ERIC JUMA</t>
  </si>
  <si>
    <t>MARION ELISIA NANJALA</t>
  </si>
  <si>
    <t>BLESSINGHOPE ADHIAMBO</t>
  </si>
  <si>
    <t>CINDY SALLY KAHUGANI</t>
  </si>
  <si>
    <t>ABIGAEL WEKESA</t>
  </si>
  <si>
    <t>SHIRLEY CHELANG’AT</t>
  </si>
  <si>
    <t>FAVOUR MUKOA WAFULA</t>
  </si>
  <si>
    <t>ZUKI KIBOKI IGNATIUS</t>
  </si>
  <si>
    <t>JOEL KWEMOI JUMA</t>
  </si>
  <si>
    <t>IVENE JEPKURGAT</t>
  </si>
  <si>
    <t>VIOLA CHEPCHI</t>
  </si>
  <si>
    <t>ZAKAYO MWANJA</t>
  </si>
  <si>
    <t>DOUGLAS NGECHU THUO</t>
  </si>
  <si>
    <t>RICHARD OJUJU</t>
  </si>
  <si>
    <t>EBBY CHEROP</t>
  </si>
  <si>
    <t>STEPHEN BARASA</t>
  </si>
  <si>
    <t>JOSEPHAT KOSGEI KAGO</t>
  </si>
  <si>
    <t>PRINCE KIBET</t>
  </si>
  <si>
    <t>MEAVE CHEPKEMOI NDIEMA</t>
  </si>
  <si>
    <t>CONRAD LUSAMULA</t>
  </si>
  <si>
    <t>HEZRON MACHARIA</t>
  </si>
  <si>
    <t>ACCOMODATION</t>
  </si>
  <si>
    <t>Day</t>
  </si>
  <si>
    <t>Hostel</t>
  </si>
  <si>
    <t>BALANCE</t>
  </si>
  <si>
    <t>DAVID BLESSED</t>
  </si>
  <si>
    <t>BROUGHT FORWARD</t>
  </si>
  <si>
    <t>SPONSORED</t>
  </si>
  <si>
    <t>DATE OF ADMISSION</t>
  </si>
  <si>
    <t>14-05-2025</t>
  </si>
  <si>
    <t>14-5-2025</t>
  </si>
  <si>
    <t>16-5-2025</t>
  </si>
  <si>
    <t>19-5-2025</t>
  </si>
  <si>
    <t>20-5-2025</t>
  </si>
  <si>
    <t>26/5/2025</t>
  </si>
  <si>
    <t>27/5/2025</t>
  </si>
  <si>
    <t>GEORGE BUTIKI</t>
  </si>
  <si>
    <t>ALEX KOOME</t>
  </si>
  <si>
    <t>NOAH KHAEMBA 0NYANDO</t>
  </si>
  <si>
    <t>JOHN MAMATI</t>
  </si>
  <si>
    <t>PETER MURAMBI</t>
  </si>
  <si>
    <t>SHANE MOKEIRA</t>
  </si>
  <si>
    <t>MARION CHEPKWEMOI</t>
  </si>
  <si>
    <t>COLLINES OCHOLA</t>
  </si>
  <si>
    <t>ISMAIL HASSAN</t>
  </si>
  <si>
    <t>SHEDRICK OCHIENG</t>
  </si>
  <si>
    <t>LAVIN CYNTHIA</t>
  </si>
  <si>
    <t>FAITH AMWOGA</t>
  </si>
  <si>
    <t>17/06/2025</t>
  </si>
  <si>
    <t>20/06/2025</t>
  </si>
  <si>
    <t>23/06/2025</t>
  </si>
  <si>
    <t>DAY</t>
  </si>
  <si>
    <t>CHEPHUS KIMIBI</t>
  </si>
  <si>
    <t>CGHQ 2025/1</t>
  </si>
  <si>
    <t>CGHQ 2025/2</t>
  </si>
  <si>
    <t>CGHQ 2025/3</t>
  </si>
  <si>
    <t>CGHQ 2025/4</t>
  </si>
  <si>
    <t>CGHQ 2025/5</t>
  </si>
  <si>
    <t>CGHQ 2025/6</t>
  </si>
  <si>
    <t>CGHQ 2025/7</t>
  </si>
  <si>
    <t>CGHQ 2025/8</t>
  </si>
  <si>
    <t>CGHQ 2025/9</t>
  </si>
  <si>
    <t>CGHQ 2025/10</t>
  </si>
  <si>
    <t>CGHQ 2025/11</t>
  </si>
  <si>
    <t>CGHQ 2025/12</t>
  </si>
  <si>
    <t>CGHQ 2025/13</t>
  </si>
  <si>
    <t>CGHQ 2025/14</t>
  </si>
  <si>
    <t>CGHQ 2025/15</t>
  </si>
  <si>
    <t>CGHQ 2025/16</t>
  </si>
  <si>
    <t>CGHQ 2025/17</t>
  </si>
  <si>
    <t>CGHQ 2025/18</t>
  </si>
  <si>
    <t>CGHQ 2025/19</t>
  </si>
  <si>
    <t>CGHQ 2025/20</t>
  </si>
  <si>
    <t>CGHQ 2025/21</t>
  </si>
  <si>
    <t>CGHQ 2025/22</t>
  </si>
  <si>
    <t>CGHQ 2025/23</t>
  </si>
  <si>
    <t>CGHQ 2025/24</t>
  </si>
  <si>
    <t>CGHQ 2025/25</t>
  </si>
  <si>
    <t>CGHQ 2025/26</t>
  </si>
  <si>
    <t>CGHQ 2025/27</t>
  </si>
  <si>
    <t>CGKNP 2025/28</t>
  </si>
  <si>
    <t>CGKNP 2025/29</t>
  </si>
  <si>
    <t>CGKNP 2025/30</t>
  </si>
  <si>
    <t>CGKNP 2025/31</t>
  </si>
  <si>
    <t>CGKNP 2025/32</t>
  </si>
  <si>
    <t>CGKNP 2025/33</t>
  </si>
  <si>
    <t>CGKNP 2025/34</t>
  </si>
  <si>
    <t>CGKNP 2025/35</t>
  </si>
  <si>
    <t>CGKNP 2025/36</t>
  </si>
  <si>
    <t>CGKNP 2025/37</t>
  </si>
  <si>
    <t>CGKNP 2025/38</t>
  </si>
  <si>
    <t>CGKNP 2025/39</t>
  </si>
  <si>
    <t>CGKNP 2025/40</t>
  </si>
  <si>
    <t>STUDENT NO.</t>
  </si>
  <si>
    <t>LOCATION</t>
  </si>
  <si>
    <t>HQ</t>
  </si>
  <si>
    <t>KNP</t>
  </si>
  <si>
    <t>STARDARD FEES @PM</t>
  </si>
  <si>
    <t>OUTSTANDING</t>
  </si>
  <si>
    <t>TOTAL PAID</t>
  </si>
  <si>
    <t>BLESSING HOPE ADHIAMBO</t>
  </si>
  <si>
    <t>OLD STUDENT NO.</t>
  </si>
  <si>
    <t>HDTI/001</t>
  </si>
  <si>
    <t>HDTI/002</t>
  </si>
  <si>
    <t>HDTI/003</t>
  </si>
  <si>
    <t>HDTI/004</t>
  </si>
  <si>
    <t>HDTI/005</t>
  </si>
  <si>
    <t>HDTI/006</t>
  </si>
  <si>
    <t>HDTI/007</t>
  </si>
  <si>
    <t>HDTI/008</t>
  </si>
  <si>
    <t>HDTI/009</t>
  </si>
  <si>
    <t>HDTI/010</t>
  </si>
  <si>
    <t>HDTI/011</t>
  </si>
  <si>
    <t>HDTI/012</t>
  </si>
  <si>
    <t>HDTI/013</t>
  </si>
  <si>
    <t>HDTI/014</t>
  </si>
  <si>
    <t>HDTI/015</t>
  </si>
  <si>
    <t>HDTI/016</t>
  </si>
  <si>
    <t>HDTI/017</t>
  </si>
  <si>
    <t>HDTI/018</t>
  </si>
  <si>
    <t>HDTI/019</t>
  </si>
  <si>
    <t>HDTI/020</t>
  </si>
  <si>
    <t>HDTI/021</t>
  </si>
  <si>
    <t>HDTI/022</t>
  </si>
  <si>
    <t>HDTI/023</t>
  </si>
  <si>
    <t>HDTI/024</t>
  </si>
  <si>
    <t>HDTI/025</t>
  </si>
  <si>
    <t>HDTI/026</t>
  </si>
  <si>
    <t>HDTI/027</t>
  </si>
  <si>
    <t>HDTI/028</t>
  </si>
  <si>
    <t>HDTI/029</t>
  </si>
  <si>
    <t>HDTI/030</t>
  </si>
  <si>
    <t>HDTI/031</t>
  </si>
  <si>
    <t>HDTI/032</t>
  </si>
  <si>
    <t>HDTI/033</t>
  </si>
  <si>
    <t>HDTI/034</t>
  </si>
  <si>
    <t>HDTI/035</t>
  </si>
  <si>
    <t>HDTI/036</t>
  </si>
  <si>
    <t>HDTI/037</t>
  </si>
  <si>
    <t>HDTI/038</t>
  </si>
  <si>
    <t>HDTI/039</t>
  </si>
  <si>
    <t>HDTI/040</t>
  </si>
  <si>
    <t>NEW STUDENT NO</t>
  </si>
  <si>
    <t>DATE OF EXIT</t>
  </si>
  <si>
    <t>DROPPED</t>
  </si>
  <si>
    <t>B2</t>
  </si>
  <si>
    <t>B1</t>
  </si>
  <si>
    <t>COMPLETED</t>
  </si>
  <si>
    <t>A2</t>
  </si>
  <si>
    <t>CAPACITY</t>
  </si>
  <si>
    <t>AIDA CYTHIA MASITSA</t>
  </si>
  <si>
    <t>CGTC/25/09/032</t>
  </si>
  <si>
    <t>AMBWERE</t>
  </si>
  <si>
    <t>ALBERT MUTURI JOHSON</t>
  </si>
  <si>
    <t>CTI/CGTC/26/01/006</t>
  </si>
  <si>
    <t>ANGELLA NEKESA LUKUYANI</t>
  </si>
  <si>
    <t>CTI/CGTC/26/01/005</t>
  </si>
  <si>
    <t>AUSTIN  JUMA</t>
  </si>
  <si>
    <t>CGTC/25/09/033</t>
  </si>
  <si>
    <t>CGTC/25/05/002</t>
  </si>
  <si>
    <t>BENJAMIN ONYANGO</t>
  </si>
  <si>
    <t>KNP/CGTC/26/01/029</t>
  </si>
  <si>
    <t>BRIGHTNESS MUHATIA MUSALIZI</t>
  </si>
  <si>
    <t>BUCHICHI FLAVIAN ARUBI</t>
  </si>
  <si>
    <t>KNP/CGTC/26/01/030</t>
  </si>
  <si>
    <t>CECELIA LETUNDE NASENYA</t>
  </si>
  <si>
    <t>CTI/CGTC/25/10/040</t>
  </si>
  <si>
    <t>DENNIS WALIAULA</t>
  </si>
  <si>
    <t>CGTC/26/01/046</t>
  </si>
  <si>
    <t>DERRICK OTUNDO NABUKIMWE</t>
  </si>
  <si>
    <t>KNP/CGTC/26/01/025</t>
  </si>
  <si>
    <t>DOMINIC ASAVA MALIKA</t>
  </si>
  <si>
    <t>KNP/CGTC/26/01/026</t>
  </si>
  <si>
    <t>DYLAN SIMIYU JUMA</t>
  </si>
  <si>
    <t>EDWIN LUDECHI MASUDI</t>
  </si>
  <si>
    <t>CGTC/25/11/045</t>
  </si>
  <si>
    <t>ESTHER MAKUNGU</t>
  </si>
  <si>
    <t>CGTC/26/01/051</t>
  </si>
  <si>
    <t>EVA CHEROP</t>
  </si>
  <si>
    <t>CGTC/26/0I/050</t>
  </si>
  <si>
    <t>KNP/CGTC/26/01/028</t>
  </si>
  <si>
    <t>CGTC/26/01/048</t>
  </si>
  <si>
    <t>CGTC/25/05/012</t>
  </si>
  <si>
    <t>GEOFREY KANJALA BUYERA</t>
  </si>
  <si>
    <t>KNP/CGTC/26/01/024</t>
  </si>
  <si>
    <t>ISAAC KIBOI MUNGO</t>
  </si>
  <si>
    <t>CGTC/26/01/049</t>
  </si>
  <si>
    <t>JOB WANDAMBISI</t>
  </si>
  <si>
    <t>KNP/CGTC/25/10/020</t>
  </si>
  <si>
    <t>JOY SELINA OKERE</t>
  </si>
  <si>
    <t>CGTC/26/01/047</t>
  </si>
  <si>
    <t>JUMA NAGEL NANDAKO</t>
  </si>
  <si>
    <t>CGTC/25/09/034</t>
  </si>
  <si>
    <t>JUNE SIAKILO KHAEMBA</t>
  </si>
  <si>
    <t>KNP/CGTC/26/01/027</t>
  </si>
  <si>
    <t>LEWIS NJUGUNA</t>
  </si>
  <si>
    <t>KNP/CGTC/26/01/021</t>
  </si>
  <si>
    <t>LUMADEDE DAVID</t>
  </si>
  <si>
    <t>KNP/CGTC/26/01/023</t>
  </si>
  <si>
    <t>MARY NJOKI MBUTHIA</t>
  </si>
  <si>
    <t>KNP/25/07/015</t>
  </si>
  <si>
    <t>MELINDA NANGILA WAMALWA</t>
  </si>
  <si>
    <t>KNP/CGTC/26/01/022</t>
  </si>
  <si>
    <t>MERCY MISHELL NJOKI</t>
  </si>
  <si>
    <t>CGTC/26/01/052</t>
  </si>
  <si>
    <t>PRINCE EVANS KAHINGO</t>
  </si>
  <si>
    <t>CGTC/26/01/053</t>
  </si>
  <si>
    <t>R0SE MUNENE WANJIRU</t>
  </si>
  <si>
    <t>CGTC/26/01/054</t>
  </si>
  <si>
    <t>ONLINE</t>
  </si>
  <si>
    <t>SHARON NEKESA WAFULA</t>
  </si>
  <si>
    <t>CTI/CGTC/25/10/039</t>
  </si>
  <si>
    <t>SHIRLEY CHELANGAT TUMWET</t>
  </si>
  <si>
    <t>CGTC/25/05/011</t>
  </si>
  <si>
    <t>TRACY CHEPNGETICH</t>
  </si>
  <si>
    <t>CGTC/26/01/055</t>
  </si>
  <si>
    <t>MURAMBI MUYEKHO PETER</t>
  </si>
  <si>
    <t>KNP/CGT/01005</t>
  </si>
  <si>
    <t>ELIZABETH SALANO</t>
  </si>
  <si>
    <t>SUDANESE GROUP</t>
  </si>
  <si>
    <t>CGTC/25/10/036</t>
  </si>
  <si>
    <t xml:space="preserve">MERCY NELIMA SIFUNA </t>
  </si>
  <si>
    <t>CGTC/25/09/OO35</t>
  </si>
  <si>
    <t>KEITH SHAKILO</t>
  </si>
  <si>
    <t>TELEWA  IDDAH</t>
  </si>
  <si>
    <t>CHARLES OKELLO OJANGO</t>
  </si>
  <si>
    <t>STEPHEN DANCAN</t>
  </si>
  <si>
    <t>OLIVER WAFULA</t>
  </si>
  <si>
    <t>LUCY NASIMIYU</t>
  </si>
  <si>
    <t>IRINE OKELLO</t>
  </si>
  <si>
    <t>CGTC/25/05/013</t>
  </si>
  <si>
    <t>VICTORIA NTHENYA MBITHI</t>
  </si>
  <si>
    <t>CTI/CGTC/25/11/003</t>
  </si>
  <si>
    <t>PAULINE KHAUKA LUMULA</t>
  </si>
  <si>
    <t>KNP/CGTC/09/0017</t>
  </si>
  <si>
    <t>POLYCAP ODHIAMBO OGONO</t>
  </si>
  <si>
    <t>VIOLET NELIMA WATULO</t>
  </si>
  <si>
    <t>SAMSON SICHANGI WANYONYI</t>
  </si>
  <si>
    <t>MERCELINE AMBALE DUDU</t>
  </si>
  <si>
    <t>JEREMIAH KIMTAI NAIBEI</t>
  </si>
  <si>
    <t>SPENCER MARAH</t>
  </si>
  <si>
    <t>LEONE MUNYWA</t>
  </si>
  <si>
    <t>BEGULA REBECCA</t>
  </si>
  <si>
    <t>FREDRICK OCHIENG OTIENO</t>
  </si>
  <si>
    <t>EMMANUEL WABWILE</t>
  </si>
  <si>
    <t>ESTHER CHENANE SINO</t>
  </si>
  <si>
    <t>EDWIN MAKINA</t>
  </si>
  <si>
    <t>AUSTIN KIBET</t>
  </si>
  <si>
    <t>WENEY AKINYI</t>
  </si>
  <si>
    <t>ROBIN WANJALA WAFULA</t>
  </si>
  <si>
    <t>THOMAS WANGILA</t>
  </si>
  <si>
    <t>WANGILA BONIFACE NYONGESA</t>
  </si>
  <si>
    <t>CTI/CGTC/25/11/001</t>
  </si>
  <si>
    <t>BILL JORDAN MAJANI</t>
  </si>
  <si>
    <t>CTI/CGTC/25/11/004</t>
  </si>
  <si>
    <t>HARON  BARASA</t>
  </si>
  <si>
    <t>CTI/CGTC/25/11/002</t>
  </si>
  <si>
    <t>HAILEY NDUTA SAITOTI</t>
  </si>
  <si>
    <t>CTI/CGTC/25/11/040</t>
  </si>
  <si>
    <t>JACINTA GATHONI</t>
  </si>
  <si>
    <t>CTI/CGTC/25/11/042</t>
  </si>
  <si>
    <t>VICTOR KIPLAGAT KIPTALAI</t>
  </si>
  <si>
    <t>KNP/CGTC/09/016</t>
  </si>
  <si>
    <t>LEVI KIBETI SANG</t>
  </si>
  <si>
    <t>KNP/CGTC/25/10/018</t>
  </si>
  <si>
    <t>WAFULA EMMANUEL JUMA</t>
  </si>
  <si>
    <t>JOHN NYONGESA</t>
  </si>
  <si>
    <t>REGION</t>
  </si>
  <si>
    <t>ONGOING</t>
  </si>
  <si>
    <t>TO CONFIRM</t>
  </si>
  <si>
    <t>CGHQ 2026/01</t>
  </si>
  <si>
    <t>CGTC/25/09/037</t>
  </si>
  <si>
    <t>ABIGAEL NASUMBU CHEVETI</t>
  </si>
  <si>
    <t>CTI/CGTC/26/10/59</t>
  </si>
  <si>
    <t>WIYER LIM THIL</t>
  </si>
  <si>
    <t>CTI/CGTC/25/11/57</t>
  </si>
  <si>
    <t>FAITH NALIAKA  SIMIYU</t>
  </si>
  <si>
    <t>PATIENT WAMBUI MWANGI</t>
  </si>
  <si>
    <t>JACQLINE MUTURI</t>
  </si>
  <si>
    <t>ONGOING ONLINE</t>
  </si>
  <si>
    <t>HDTI/041</t>
  </si>
  <si>
    <t>HDTI/042</t>
  </si>
  <si>
    <t>HDTI/043</t>
  </si>
  <si>
    <t>HDTI/044</t>
  </si>
  <si>
    <t>HDTI/045</t>
  </si>
  <si>
    <t>HDTI/046</t>
  </si>
  <si>
    <t>HDTI/047</t>
  </si>
  <si>
    <t>HDTI/048</t>
  </si>
  <si>
    <t>HDTI/049</t>
  </si>
  <si>
    <t>HDTI/050</t>
  </si>
  <si>
    <t>HDTI/051</t>
  </si>
  <si>
    <t>HDTI/052</t>
  </si>
  <si>
    <t>HDTI/053</t>
  </si>
  <si>
    <t>HDTI/054</t>
  </si>
  <si>
    <t>HDTI/055</t>
  </si>
  <si>
    <t>HDTI/056</t>
  </si>
  <si>
    <t>HDTI/057</t>
  </si>
  <si>
    <t>HDTI/058</t>
  </si>
  <si>
    <t>HDTI/059</t>
  </si>
  <si>
    <t>HDTI/060</t>
  </si>
  <si>
    <t>HDTI/061</t>
  </si>
  <si>
    <t>HDTI/062</t>
  </si>
  <si>
    <t>HDTI/063</t>
  </si>
  <si>
    <t>HDTI/064</t>
  </si>
  <si>
    <t>HDTI/065</t>
  </si>
  <si>
    <t>HDTI/066</t>
  </si>
  <si>
    <t>HDTI/067</t>
  </si>
  <si>
    <t>HDTI/068</t>
  </si>
  <si>
    <t>HDTI/069</t>
  </si>
  <si>
    <t>HDTI/070</t>
  </si>
  <si>
    <t>HDTI/071</t>
  </si>
  <si>
    <t>HDTI/072</t>
  </si>
  <si>
    <t>HDTI/073</t>
  </si>
  <si>
    <t>HDTI/074</t>
  </si>
  <si>
    <t>HDTI/075</t>
  </si>
  <si>
    <t>HDTI/076</t>
  </si>
  <si>
    <t>HDTI/077</t>
  </si>
  <si>
    <t>HDTI/078</t>
  </si>
  <si>
    <t>HDTI/079</t>
  </si>
  <si>
    <t>HDTI/080</t>
  </si>
  <si>
    <t>HDTI/081</t>
  </si>
  <si>
    <t>HDTI/082</t>
  </si>
  <si>
    <t>HDTI/083</t>
  </si>
  <si>
    <t>HDTI/084</t>
  </si>
  <si>
    <t>HDTI/085</t>
  </si>
  <si>
    <t>HDTI/086</t>
  </si>
  <si>
    <t>HDTI/087</t>
  </si>
  <si>
    <t>HDTI/088</t>
  </si>
  <si>
    <t>HDTI/089</t>
  </si>
  <si>
    <t>HDTI/090</t>
  </si>
  <si>
    <t>HDTI/091</t>
  </si>
  <si>
    <t>HDTI/092</t>
  </si>
  <si>
    <t>HDTI/093</t>
  </si>
  <si>
    <t>HDTI/095</t>
  </si>
  <si>
    <t>HDTI/096</t>
  </si>
  <si>
    <t>HDTI/097</t>
  </si>
  <si>
    <t>HDTI/098</t>
  </si>
  <si>
    <t>HDTI/099</t>
  </si>
  <si>
    <t>HDTI/100</t>
  </si>
  <si>
    <t>HDTI/101</t>
  </si>
  <si>
    <t>HDTI/102</t>
  </si>
  <si>
    <t>HDTI/103</t>
  </si>
  <si>
    <t>HDTI/104</t>
  </si>
  <si>
    <t>HDTI/105</t>
  </si>
  <si>
    <t>HDTI/106</t>
  </si>
  <si>
    <t>HDTI/107</t>
  </si>
  <si>
    <t>HDTI/108</t>
  </si>
  <si>
    <t>HDTI/109</t>
  </si>
  <si>
    <t>HDTI/110</t>
  </si>
  <si>
    <t>HDTI/111</t>
  </si>
  <si>
    <t>HDTI/112</t>
  </si>
  <si>
    <t>HDTI/113</t>
  </si>
  <si>
    <t>HDTI/114</t>
  </si>
  <si>
    <t>HDTI/115</t>
  </si>
  <si>
    <t>HDTI/116</t>
  </si>
  <si>
    <t>HDTI/117</t>
  </si>
  <si>
    <t>HDTI/118</t>
  </si>
  <si>
    <t>HDTI/119</t>
  </si>
  <si>
    <t>HDTI/120</t>
  </si>
  <si>
    <t xml:space="preserve">LUCY NASIMIYU </t>
  </si>
  <si>
    <t xml:space="preserve">METRINE BRENDA </t>
  </si>
  <si>
    <t xml:space="preserve">SHADRACK </t>
  </si>
  <si>
    <t xml:space="preserve">EDWIN MAKINA </t>
  </si>
  <si>
    <t xml:space="preserve">EMMANUEL NANDASABA </t>
  </si>
  <si>
    <t xml:space="preserve">POLYCAP ODHIAMBO </t>
  </si>
  <si>
    <t xml:space="preserve">JOY NASIMIYU </t>
  </si>
  <si>
    <t xml:space="preserve">FREDRICK OCHIENG </t>
  </si>
  <si>
    <t xml:space="preserve">NANCY </t>
  </si>
  <si>
    <t xml:space="preserve">ELIAS </t>
  </si>
  <si>
    <t xml:space="preserve">GOSHEN SIFUNA </t>
  </si>
  <si>
    <t xml:space="preserve">BELINDA </t>
  </si>
  <si>
    <t xml:space="preserve">WELLINGTON </t>
  </si>
  <si>
    <t xml:space="preserve">MARK JUMA </t>
  </si>
  <si>
    <t xml:space="preserve">SPENCER MARA </t>
  </si>
  <si>
    <t xml:space="preserve">DUDU MERCELINE </t>
  </si>
  <si>
    <t>IRENE AKELLO</t>
  </si>
  <si>
    <t>BGM</t>
  </si>
  <si>
    <t>HDTI/121</t>
  </si>
  <si>
    <t>HDTI/122</t>
  </si>
  <si>
    <t>HDTI/123</t>
  </si>
  <si>
    <t>HDTI/124</t>
  </si>
  <si>
    <t>HDTI/125</t>
  </si>
  <si>
    <t>HDTI/126</t>
  </si>
  <si>
    <t>HDTI/127</t>
  </si>
  <si>
    <t>HDTI/128</t>
  </si>
  <si>
    <t>HDTI/129</t>
  </si>
  <si>
    <t>HDTI/130</t>
  </si>
  <si>
    <t>HDTI/131</t>
  </si>
  <si>
    <t>HDTI/132</t>
  </si>
  <si>
    <t>HDTI/133</t>
  </si>
  <si>
    <t>HDTI/134</t>
  </si>
  <si>
    <t>HDTI/135</t>
  </si>
  <si>
    <t>HDTI/136</t>
  </si>
  <si>
    <t>HDTI/137</t>
  </si>
  <si>
    <t>HDTI/138</t>
  </si>
  <si>
    <t>HDTI/139</t>
  </si>
  <si>
    <t>HDTI/140</t>
  </si>
  <si>
    <t>HDTI/141</t>
  </si>
  <si>
    <t>HDTI/142</t>
  </si>
  <si>
    <t>HDTI/143</t>
  </si>
  <si>
    <t>HDTI/144</t>
  </si>
  <si>
    <t>HDTI/145</t>
  </si>
  <si>
    <t>HDTI/146</t>
  </si>
  <si>
    <t>HDTI/147</t>
  </si>
  <si>
    <t>HDTI/148</t>
  </si>
  <si>
    <t>HDTI/149</t>
  </si>
  <si>
    <t>HDTI/150</t>
  </si>
  <si>
    <t>HDTI/151</t>
  </si>
  <si>
    <t>HDTI/152</t>
  </si>
  <si>
    <t>HDTI/153</t>
  </si>
  <si>
    <t>HDTI/154</t>
  </si>
  <si>
    <t>HDTI/155</t>
  </si>
  <si>
    <t>HDTI/156</t>
  </si>
  <si>
    <t>HDTI/157</t>
  </si>
  <si>
    <t>HDTI/158</t>
  </si>
  <si>
    <t>HDTI/159</t>
  </si>
  <si>
    <t>HDTI/160</t>
  </si>
  <si>
    <t>HDTI/161</t>
  </si>
  <si>
    <t>HDTI/162</t>
  </si>
  <si>
    <t>HDTI/163</t>
  </si>
  <si>
    <t>HDTI/164</t>
  </si>
  <si>
    <t>HDTI/165</t>
  </si>
  <si>
    <t>HDTI/166</t>
  </si>
  <si>
    <t>HDTI/167</t>
  </si>
  <si>
    <t>HDTI/168</t>
  </si>
  <si>
    <t>HDTI/169</t>
  </si>
  <si>
    <t>HDTI/170</t>
  </si>
  <si>
    <t>HDTI/171</t>
  </si>
  <si>
    <t>HDTI/172</t>
  </si>
  <si>
    <t>HDTI/173</t>
  </si>
  <si>
    <t>HDTI/174</t>
  </si>
  <si>
    <t>HDTI/175</t>
  </si>
  <si>
    <t>HDTI/176</t>
  </si>
  <si>
    <t>HDTI/177</t>
  </si>
  <si>
    <t>HDTI/178</t>
  </si>
  <si>
    <t>HDTI/179</t>
  </si>
  <si>
    <t>HDTI/180</t>
  </si>
  <si>
    <t>HDTI/181</t>
  </si>
  <si>
    <t>HDTI/182</t>
  </si>
  <si>
    <t>HDTI/183</t>
  </si>
  <si>
    <t>HDTI/184</t>
  </si>
  <si>
    <t>HDTI/185</t>
  </si>
  <si>
    <t>HDTI/186</t>
  </si>
  <si>
    <t>HDTI/187</t>
  </si>
  <si>
    <t>HDTI/188</t>
  </si>
  <si>
    <t>HDTI/189</t>
  </si>
  <si>
    <t>HDTI/190</t>
  </si>
  <si>
    <t>HDTI/191</t>
  </si>
  <si>
    <t>HDTI/192</t>
  </si>
  <si>
    <t>HDTI/193</t>
  </si>
  <si>
    <t>HDTI/194</t>
  </si>
  <si>
    <t>HDTI/195</t>
  </si>
  <si>
    <t>HDTI/196</t>
  </si>
  <si>
    <t>HDTI/197</t>
  </si>
  <si>
    <t>HDTI/198</t>
  </si>
  <si>
    <t>HDTI/199</t>
  </si>
  <si>
    <t>HDTI/200</t>
  </si>
  <si>
    <t xml:space="preserve">BGM MAIN </t>
  </si>
  <si>
    <t>TASHLEY KIM CHEROTICH</t>
  </si>
  <si>
    <t>15/04/2026</t>
  </si>
  <si>
    <t>16/04/2026</t>
  </si>
  <si>
    <t>SALLY  MMBONE MUREITHI</t>
  </si>
  <si>
    <t>KARAMBWA SYLVESTER  NDUHIU</t>
  </si>
  <si>
    <t>COLLINS COLLENIUS MWICHABE</t>
  </si>
  <si>
    <t>SIMIYU KEN MATEKA</t>
  </si>
  <si>
    <t>ABIGAEL CHEVETI NASUMBU</t>
  </si>
  <si>
    <t>31/3/2026</t>
  </si>
  <si>
    <t>JOINED UNIVERSITY</t>
  </si>
  <si>
    <t>ILLNESS</t>
  </si>
  <si>
    <t>6/12 /21025</t>
  </si>
  <si>
    <t>RELOCATED</t>
  </si>
  <si>
    <t>18/9/2025</t>
  </si>
  <si>
    <t>17/11/2025</t>
  </si>
  <si>
    <t>MARION KIMKUNG CHEPKWEMOI</t>
  </si>
  <si>
    <t>ABIGAEL PEACE WEKESA</t>
  </si>
  <si>
    <t>28/18/2025</t>
  </si>
  <si>
    <t>22/8/2025</t>
  </si>
  <si>
    <t>30/6/2025</t>
  </si>
  <si>
    <t>29/8/2025</t>
  </si>
  <si>
    <t>14/6'2025</t>
  </si>
  <si>
    <t>23/6/205</t>
  </si>
  <si>
    <t>30/062025</t>
  </si>
  <si>
    <t>A</t>
  </si>
  <si>
    <t>31/2/2025</t>
  </si>
  <si>
    <t>03/112025</t>
  </si>
  <si>
    <t>DUE TO  FEE</t>
  </si>
  <si>
    <t>MARY NYACHASI WANYAMA</t>
  </si>
  <si>
    <t>25/5/2025</t>
  </si>
  <si>
    <t>13/1/2026</t>
  </si>
  <si>
    <t>13/2/2025</t>
  </si>
  <si>
    <t>13/5/2026</t>
  </si>
  <si>
    <t>19/112025</t>
  </si>
  <si>
    <t>25/6/2025</t>
  </si>
  <si>
    <t>28/7/2025</t>
  </si>
  <si>
    <t>LAVIN CYNTHIA EMOTOM</t>
  </si>
  <si>
    <t>BILHA ANDEKA</t>
  </si>
  <si>
    <t>27/5/2027</t>
  </si>
  <si>
    <t>19/5/2025</t>
  </si>
  <si>
    <t>17/4/2025</t>
  </si>
  <si>
    <t>16/1/2025</t>
  </si>
  <si>
    <t>31/4/2026</t>
  </si>
  <si>
    <t>JACKLINE MUTURI</t>
  </si>
  <si>
    <t xml:space="preserve">   </t>
  </si>
  <si>
    <t>CALVIN KIPROP JOSEPH</t>
  </si>
  <si>
    <t>BARRACK TREVOR JAMES</t>
  </si>
  <si>
    <t>25/4/2025</t>
  </si>
  <si>
    <t>NELLY ONYANGO OGUTU</t>
  </si>
  <si>
    <t>ROEL HUSSEIN</t>
  </si>
  <si>
    <t>HOPE CHEPTOO</t>
  </si>
  <si>
    <t>TAAGA SCOVIAN</t>
  </si>
  <si>
    <t>14/5/2025</t>
  </si>
  <si>
    <t>BYROSEVELLIAN  M. AFANDA</t>
  </si>
  <si>
    <t>0111 949330/0738886808</t>
  </si>
  <si>
    <t>0737 308224/0724 611309</t>
  </si>
  <si>
    <t>0716 794785</t>
  </si>
  <si>
    <t>0720 498319/0795769583</t>
  </si>
  <si>
    <t>0113 936483/0768 472445</t>
  </si>
  <si>
    <t>0794  933639/0719308165</t>
  </si>
  <si>
    <t xml:space="preserve">CHARITY PURPOSE </t>
  </si>
  <si>
    <t>0799 491681/0107 418158</t>
  </si>
  <si>
    <t>0797 1222/0786 477086</t>
  </si>
  <si>
    <t>FORM 4 LEAVER</t>
  </si>
  <si>
    <t>RADIOLIOGIST</t>
  </si>
  <si>
    <t>0795 900322</t>
  </si>
  <si>
    <t>0792 464282/0702 786403</t>
  </si>
  <si>
    <t>0790 512007/0713 168807</t>
  </si>
  <si>
    <t>0708 995019/0918 495461</t>
  </si>
  <si>
    <t>EVANS OWINO OKINDA</t>
  </si>
  <si>
    <t>0757 728022/0783 042796</t>
  </si>
  <si>
    <t>0748 615255</t>
  </si>
  <si>
    <t>0719 732854/0739 584261</t>
  </si>
  <si>
    <t>0791851244/0723711649</t>
  </si>
  <si>
    <t>PHONE</t>
  </si>
  <si>
    <t>PROFFESSION</t>
  </si>
  <si>
    <t>ELECTRICAL ENGINNER STUDENT</t>
  </si>
  <si>
    <t>AUTOMOTIVE ENGINERING</t>
  </si>
  <si>
    <t>PLUMPING</t>
  </si>
  <si>
    <t>DIPLOMA IN CIVAL ENGINERING</t>
  </si>
  <si>
    <t xml:space="preserve">APPLIED SCIENCE&amp;BIOLOGY </t>
  </si>
  <si>
    <t>DIP ELECTRIC /ELECTRONIC ENGINER</t>
  </si>
  <si>
    <t>0745 246222/0723 863901</t>
  </si>
  <si>
    <t xml:space="preserve">DIPIN CATERRING&amp;ACCOMODATION </t>
  </si>
  <si>
    <t>0769 283400/0703 426707</t>
  </si>
  <si>
    <t>BUILDING TECHNOLOGY AT KNP</t>
  </si>
  <si>
    <t>0111 936944/0738 833852</t>
  </si>
  <si>
    <t>SCIENCE LABARATORY TECHNOLOGY</t>
  </si>
  <si>
    <t>0714 901181/0701284847</t>
  </si>
  <si>
    <t>0743 596104/0711303601</t>
  </si>
  <si>
    <t>0713 069244</t>
  </si>
  <si>
    <t>0793 036503/0727 896928</t>
  </si>
  <si>
    <t>HUMAN RESOURCE &amp;MANAGEMENT</t>
  </si>
  <si>
    <t>0799 827910</t>
  </si>
  <si>
    <t>CHRISTIAN EDUCATION</t>
  </si>
  <si>
    <t>0794 608690</t>
  </si>
  <si>
    <t>0799 199698/0702 707383</t>
  </si>
  <si>
    <t>0720 279655/0739866255</t>
  </si>
  <si>
    <t>0700 764598</t>
  </si>
  <si>
    <t>0746 190520/0735260550</t>
  </si>
  <si>
    <t>REGISTERED COMMUNITY HEALTH NURSE</t>
  </si>
  <si>
    <t>0718 701339/0747 701341</t>
  </si>
  <si>
    <t>CIVIL ENGINERING</t>
  </si>
  <si>
    <t>0748 500265/0728 935489</t>
  </si>
  <si>
    <t>0743 699253/0724937429</t>
  </si>
  <si>
    <t>0769 915810/0106 229118</t>
  </si>
  <si>
    <t>REGISTERED  NURSE</t>
  </si>
  <si>
    <t>0758 545498/0791305829</t>
  </si>
  <si>
    <t>BACHELOR OF EDUCATION</t>
  </si>
  <si>
    <t>0707 359653</t>
  </si>
  <si>
    <t>0118 335642</t>
  </si>
  <si>
    <t>0110 534471/0119123272</t>
  </si>
  <si>
    <t>TVETA TRAINER,ICT EXPERT</t>
  </si>
  <si>
    <t>0707 356599/0103315026</t>
  </si>
  <si>
    <t>REGISTERED NURSE</t>
  </si>
  <si>
    <t>07011 92540 /0733 268685</t>
  </si>
  <si>
    <t>ANIMAL HEALTH PRODUTION</t>
  </si>
  <si>
    <t>0727 745977/0829545233</t>
  </si>
  <si>
    <t>NURSE</t>
  </si>
  <si>
    <t>0742 448432/07216666437</t>
  </si>
  <si>
    <t>MEDICAL LABARATORY SCIENCE</t>
  </si>
  <si>
    <t>ANITA SOILA LEMPAKA</t>
  </si>
  <si>
    <t>0700  828765</t>
  </si>
  <si>
    <t>BACHELOR OF EDUCATION (ARTSWITH IT)</t>
  </si>
  <si>
    <t>0743 082607</t>
  </si>
  <si>
    <t>ORTHOPEDIC TECHNOLOGY</t>
  </si>
  <si>
    <t>0769 382572/0728 728697</t>
  </si>
  <si>
    <t>SOCIAL WORK COMMUNITY DEVELOPMET</t>
  </si>
  <si>
    <t>0758 582496/0722540997</t>
  </si>
  <si>
    <t>0740 895206</t>
  </si>
  <si>
    <t>HOSPITALITY MANAGEMENT</t>
  </si>
  <si>
    <t>0722 699502/0116657090</t>
  </si>
  <si>
    <t>0700 555780/072321</t>
  </si>
  <si>
    <t>0722 124008</t>
  </si>
  <si>
    <t>0784 618675</t>
  </si>
  <si>
    <t>0716 759185/0757 023878</t>
  </si>
  <si>
    <t>++++++++++++++++++++++++++++++++++++++++++++++++++++++++++++++++++++++++++++++++++++++++++++++++</t>
  </si>
  <si>
    <t xml:space="preserve"> </t>
  </si>
  <si>
    <t>+</t>
  </si>
  <si>
    <t>+++++++++++++++++++++++++++++++++++++++++++++++++++++++++++++++++</t>
  </si>
  <si>
    <t>0105 205959/0791 316711</t>
  </si>
  <si>
    <t>07114 937733/0102790048</t>
  </si>
  <si>
    <t>C0MPUTER SCIENCE 3RD YEAR AT KNP</t>
  </si>
  <si>
    <t>0112 770850/0702805578</t>
  </si>
  <si>
    <t>0727 059662</t>
  </si>
  <si>
    <t>0746 251964</t>
  </si>
  <si>
    <t>0759 144443</t>
  </si>
  <si>
    <t>0727 034742</t>
  </si>
  <si>
    <t>0790 395913</t>
  </si>
  <si>
    <t>0705 637032</t>
  </si>
  <si>
    <t>0713 188338</t>
  </si>
  <si>
    <t>0707 617507</t>
  </si>
  <si>
    <t>0790 874670</t>
  </si>
  <si>
    <t>0798 324421</t>
  </si>
  <si>
    <t>0791 673432</t>
  </si>
  <si>
    <t>0705 173137</t>
  </si>
  <si>
    <t>0712 969318</t>
  </si>
  <si>
    <t>0708  035288</t>
  </si>
  <si>
    <t>0711 653036</t>
  </si>
  <si>
    <t>DRIVER</t>
  </si>
  <si>
    <t>PUPIL AT LAMPLIGHTER SCHOOL</t>
  </si>
  <si>
    <t>REGISRERED NURSE</t>
  </si>
  <si>
    <t>GYM INSRUCTOR AT KNP</t>
  </si>
  <si>
    <t>CERTIFICATE IN COSTOMETOLOGY</t>
  </si>
  <si>
    <t>PURITY MUHONJA</t>
  </si>
  <si>
    <t>EMMANUEL WAFULA</t>
  </si>
  <si>
    <t>0117 136650</t>
  </si>
  <si>
    <t>DEGREE IN NURSE</t>
  </si>
  <si>
    <t>0758  768381/0703 490981</t>
  </si>
  <si>
    <t>0115 226459</t>
  </si>
  <si>
    <t>0793 317401</t>
  </si>
  <si>
    <t>0701 139630/0704338240</t>
  </si>
  <si>
    <t>0718 922112</t>
  </si>
  <si>
    <t>0745 272643</t>
  </si>
  <si>
    <t>0116  469984</t>
  </si>
  <si>
    <t>0794 208097</t>
  </si>
  <si>
    <t>DIPLOMA IN PASTORY</t>
  </si>
  <si>
    <t>DEGRE IN HOSPITALITY</t>
  </si>
  <si>
    <t>0713 638886</t>
  </si>
  <si>
    <t>CYBER SECURITY</t>
  </si>
  <si>
    <t>0115 562825</t>
  </si>
  <si>
    <t>0740 232791</t>
  </si>
  <si>
    <t>0793 932417</t>
  </si>
  <si>
    <t xml:space="preserve"> DIP IN ICT  AT KNP</t>
  </si>
  <si>
    <t>0740 549370</t>
  </si>
  <si>
    <t>0727 215024</t>
  </si>
  <si>
    <t>0746 054024</t>
  </si>
  <si>
    <t>0793 622176</t>
  </si>
  <si>
    <t>COLLINNIS OCHOLA</t>
  </si>
  <si>
    <t>0114B289435</t>
  </si>
  <si>
    <t>0115 990331</t>
  </si>
  <si>
    <t>0793 829236</t>
  </si>
  <si>
    <t>0727 314736</t>
  </si>
  <si>
    <t>0791 308711</t>
  </si>
  <si>
    <t>0722 746446</t>
  </si>
  <si>
    <t>0797 3171403</t>
  </si>
  <si>
    <t>0796 540224</t>
  </si>
  <si>
    <t>0717 873950</t>
  </si>
  <si>
    <t>0719 342465</t>
  </si>
  <si>
    <t>COMPUTER SCIENCE</t>
  </si>
  <si>
    <t>UNIVERSITY STUDENT</t>
  </si>
  <si>
    <t>0705 606628</t>
  </si>
  <si>
    <t>JOHN NDUNGU KIMANI</t>
  </si>
  <si>
    <t>0707 743085/0750 02878IS</t>
  </si>
  <si>
    <t>CHRIS DENNIS MWAI</t>
  </si>
  <si>
    <t>0724 366322</t>
  </si>
  <si>
    <t>CERTIFICATE IN  PLUMBING</t>
  </si>
  <si>
    <t>DIPLOMA ICT</t>
  </si>
  <si>
    <t>DENNIS WAFULA WANYONYI</t>
  </si>
  <si>
    <t>0757 308041/0752892959</t>
  </si>
  <si>
    <t>RUTH   CHEMUS  KAMWASIR</t>
  </si>
  <si>
    <t>ASS NURSE</t>
  </si>
  <si>
    <t>0735  756777</t>
  </si>
  <si>
    <t>WENT WITH JOE</t>
  </si>
  <si>
    <t>STILL AT AMBWERE</t>
  </si>
  <si>
    <t>MAY</t>
  </si>
  <si>
    <t>JAN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</si>
  <si>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</si>
  <si>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</si>
  <si>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</si>
  <si>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</si>
  <si>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</si>
  <si>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</si>
  <si>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</si>
  <si>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</si>
  <si>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</si>
  <si>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Totals</t>
  </si>
  <si>
    <t>NASIB ABDALA</t>
  </si>
  <si>
    <t>RADIOGRAPHER</t>
  </si>
  <si>
    <t>RUTH KAMWASIR</t>
  </si>
  <si>
    <t>MEDIC</t>
  </si>
  <si>
    <t>JAMES LUGANU</t>
  </si>
  <si>
    <t>BRIAN CHANGALWA</t>
  </si>
  <si>
    <t>STEPHEN BRANCO</t>
  </si>
  <si>
    <t>NELLY KENDI</t>
  </si>
  <si>
    <t>PURITY MONG'ARE KERUBO</t>
  </si>
  <si>
    <t>STUDENT</t>
  </si>
  <si>
    <t>CHRISTINE ABUNGU MPAKA</t>
  </si>
  <si>
    <t>JONH NYONGESA</t>
  </si>
  <si>
    <t>ONLINE/BUNGOMA</t>
  </si>
  <si>
    <t>BELINDA LUTUKAYI</t>
  </si>
  <si>
    <t>MITCHEL NJERI</t>
  </si>
  <si>
    <t>4 STUDENTS</t>
  </si>
  <si>
    <t>ONLINE/KNP</t>
  </si>
  <si>
    <t>0NLINE WEBUYE</t>
  </si>
  <si>
    <t>TOTAL AMNT PAID</t>
  </si>
  <si>
    <t>TOTAL LEVEL FEE</t>
  </si>
  <si>
    <t>REGISTRATION FEE</t>
  </si>
  <si>
    <t>PROFFESION</t>
  </si>
  <si>
    <t>CAMPUS</t>
  </si>
  <si>
    <t>LEVEL</t>
  </si>
  <si>
    <t>VERONICA  ITAHO WANJALA</t>
  </si>
  <si>
    <t>MARK MWANGI MURONGO</t>
  </si>
  <si>
    <t>0705 260322/0789461609</t>
  </si>
  <si>
    <t>0790 248508</t>
  </si>
  <si>
    <t>HOCKIN OGAYA</t>
  </si>
  <si>
    <t>0793 487878</t>
  </si>
  <si>
    <t>RODGERS WAYALA</t>
  </si>
  <si>
    <t>0720 968909</t>
  </si>
  <si>
    <t>0111 438084</t>
  </si>
  <si>
    <t>0795 491317</t>
  </si>
  <si>
    <t>0706 269917/0717 425781</t>
  </si>
  <si>
    <t>0721 548805</t>
  </si>
  <si>
    <t>0716 899585</t>
  </si>
  <si>
    <t>0791 789294</t>
  </si>
  <si>
    <t>0746 6403235</t>
  </si>
  <si>
    <t>PURITY KISAKA</t>
  </si>
  <si>
    <t>0713 305456</t>
  </si>
  <si>
    <t>LUCY NYONGESA</t>
  </si>
  <si>
    <t>0113 605014</t>
  </si>
  <si>
    <t>ABEDNEGO SIMIYU</t>
  </si>
  <si>
    <t>0114 331601</t>
  </si>
  <si>
    <t>SHARON SIMIYU</t>
  </si>
  <si>
    <t>0798 116990</t>
  </si>
  <si>
    <t>ROSEMARY WACHUYE</t>
  </si>
  <si>
    <t>0721 545066</t>
  </si>
  <si>
    <t>ERNEST</t>
  </si>
  <si>
    <t>0714 692210</t>
  </si>
  <si>
    <t>FLORENCE KINYANJUI</t>
  </si>
  <si>
    <t>0799 257050</t>
  </si>
  <si>
    <t>JOCKTA KABEYI</t>
  </si>
  <si>
    <t>0710 287890</t>
  </si>
  <si>
    <t>BRALTON KHACHINA</t>
  </si>
  <si>
    <t>0705 497902</t>
  </si>
  <si>
    <t>HEALTH RECORDS</t>
  </si>
  <si>
    <t>LUCY MUNYASIA</t>
  </si>
  <si>
    <t>KENDRIC</t>
  </si>
  <si>
    <t>0718 618465</t>
  </si>
  <si>
    <t>METRINE WAFULA</t>
  </si>
  <si>
    <t>0798 357846</t>
  </si>
  <si>
    <t>KENNEDY MUSUNDI</t>
  </si>
  <si>
    <t>0705 470056</t>
  </si>
  <si>
    <t>FASHION DESIGNER</t>
  </si>
  <si>
    <t>MASTERS IN PUBLIC RELATIONS</t>
  </si>
  <si>
    <t xml:space="preserve">CLEAREAD </t>
  </si>
  <si>
    <t>0745 550603</t>
  </si>
  <si>
    <t>0702 942429</t>
  </si>
  <si>
    <t>0746 646196</t>
  </si>
  <si>
    <t>NOAH KHAEMBA OYANDO</t>
  </si>
  <si>
    <t>KWEMOI FELIXKITERIE</t>
  </si>
  <si>
    <t>0742 248434</t>
  </si>
  <si>
    <t>OMONDI AKINYI SHAMIN</t>
  </si>
  <si>
    <t>0769 021222</t>
  </si>
  <si>
    <t>0793 624532</t>
  </si>
  <si>
    <t>JOSEPH  S SATIA</t>
  </si>
  <si>
    <t>0792 940500/0799299960</t>
  </si>
  <si>
    <t>EVERLINE ATIENO AWINO</t>
  </si>
  <si>
    <t>5/5/202+K45</t>
  </si>
  <si>
    <t>1,00</t>
  </si>
  <si>
    <t>JOHN AFWAI</t>
  </si>
  <si>
    <t>NEVER ATTENDED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</si>
</sst>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Book Antiqua"/>
      <family val="1"/>
    </font>
    <font>
      <b/>
      <sz val="10"/>
      <name val="Book Antiqua"/>
      <family val="1"/>
    </font>
    <font>
      <sz val="10"/>
      <color theme="1"/>
      <name val="Book Antiqua"/>
      <family val="1"/>
    </font>
    <font>
      <sz val="10"/>
      <name val="Arial"/>
      <family val="2"/>
    </font>
    <font>
      <b/>
      <sz val="10"/>
      <color theme="1"/>
      <name val="Book Antiqua"/>
      <family val="1"/>
    </font>
    <font>
      <b/>
      <u/>
      <sz val="10"/>
      <color theme="1"/>
      <name val="Book Antiqua"/>
      <family val="1"/>
    </font>
    <font>
      <u/>
      <sz val="10"/>
      <color theme="1"/>
      <name val="Book Antiqua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Sitka Text"/>
    </font>
    <font>
      <sz val="12"/>
      <color theme="1"/>
      <name val="Sitka Text"/>
    </font>
    <font>
      <sz val="12"/>
      <name val="Sitka Text"/>
    </font>
    <font>
      <b/>
      <sz val="11"/>
      <color theme="9"/>
      <name val="Calibri"/>
      <family val="2"/>
      <scheme val="minor"/>
    </font>
    <font>
      <sz val="12"/>
      <color rgb="FFFF0000"/>
      <name val="Sitka Text"/>
    </font>
    <font>
      <sz val="12"/>
      <name val="Times New Roman"/>
      <family val="1"/>
    </font>
    <font>
      <b/>
      <sz val="12"/>
      <color theme="4"/>
      <name val="Sitka Text"/>
    </font>
    <font>
      <b/>
      <sz val="12"/>
      <color rgb="FF00B050"/>
      <name val="Sitka Text"/>
    </font>
    <font>
      <b/>
      <sz val="12"/>
      <color theme="4"/>
      <name val="Times New Roman"/>
      <family val="1"/>
    </font>
    <font>
      <b/>
      <sz val="12"/>
      <color rgb="FF00B050"/>
      <name val="Times New Roman"/>
      <family val="1"/>
    </font>
    <font>
      <b/>
      <sz val="12"/>
      <color theme="1"/>
      <name val="Sitka Text"/>
    </font>
    <font>
      <b/>
      <sz val="12"/>
      <color rgb="FFFF0000"/>
      <name val="Sitka Text"/>
    </font>
    <font>
      <b/>
      <sz val="12"/>
      <color theme="1"/>
      <name val="Times New Roman"/>
      <family val="1"/>
    </font>
    <font>
      <b/>
      <sz val="12"/>
      <color rgb="FF00B0F0"/>
      <name val="Sitka Text"/>
    </font>
    <font>
      <b/>
      <sz val="12"/>
      <color rgb="FF00B0F0"/>
      <name val="Times New Roman"/>
      <family val="1"/>
    </font>
    <font>
      <b/>
      <sz val="12"/>
      <color rgb="FF7030A0"/>
      <name val="Sitka Text"/>
    </font>
    <font>
      <b/>
      <sz val="12"/>
      <color rgb="FF7030A0"/>
      <name val="Times New Roman"/>
      <family val="1"/>
    </font>
    <font>
      <b/>
      <sz val="12"/>
      <color rgb="FFFFC000"/>
      <name val="Sitka Text"/>
    </font>
    <font>
      <b/>
      <sz val="12"/>
      <color rgb="FFFFC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58">
    <xf numFmtId="0" fontId="0" fillId="0" borderId="0" xfId="0"/>
    <xf numFmtId="0" fontId="4" fillId="2" borderId="0" xfId="0" applyFont="1" applyFill="1" applyAlignment="1">
      <alignment horizontal="justify" vertical="center"/>
    </xf>
    <xf numFmtId="43" fontId="4" fillId="2" borderId="0" xfId="1" applyFont="1" applyFill="1" applyBorder="1" applyAlignment="1">
      <alignment horizontal="justify" vertical="center"/>
    </xf>
    <xf numFmtId="0" fontId="5" fillId="0" borderId="1" xfId="0" applyFont="1" applyBorder="1"/>
    <xf numFmtId="43" fontId="5" fillId="5" borderId="1" xfId="1" applyFont="1" applyFill="1" applyBorder="1"/>
    <xf numFmtId="43" fontId="5" fillId="0" borderId="1" xfId="1" applyFont="1" applyBorder="1"/>
    <xf numFmtId="43" fontId="5" fillId="0" borderId="1" xfId="1" applyFont="1" applyBorder="1" applyAlignment="1">
      <alignment horizontal="right"/>
    </xf>
    <xf numFmtId="0" fontId="5" fillId="0" borderId="0" xfId="0" applyFont="1"/>
    <xf numFmtId="0" fontId="4" fillId="2" borderId="2" xfId="0" applyFont="1" applyFill="1" applyBorder="1" applyAlignment="1">
      <alignment horizontal="justify" vertical="center"/>
    </xf>
    <xf numFmtId="43" fontId="4" fillId="3" borderId="0" xfId="1" applyFont="1" applyFill="1" applyBorder="1" applyAlignment="1">
      <alignment horizontal="justify" vertical="center"/>
    </xf>
    <xf numFmtId="43" fontId="4" fillId="4" borderId="0" xfId="1" applyFont="1" applyFill="1" applyBorder="1" applyAlignment="1">
      <alignment horizontal="justify" vertical="center"/>
    </xf>
    <xf numFmtId="43" fontId="3" fillId="2" borderId="0" xfId="1" applyFont="1" applyFill="1" applyBorder="1" applyAlignment="1">
      <alignment horizontal="justify" vertical="center"/>
    </xf>
    <xf numFmtId="0" fontId="4" fillId="2" borderId="4" xfId="0" applyFont="1" applyFill="1" applyBorder="1" applyAlignment="1">
      <alignment horizontal="justify" vertical="center"/>
    </xf>
    <xf numFmtId="0" fontId="3" fillId="2" borderId="0" xfId="0" applyFont="1" applyFill="1" applyAlignment="1">
      <alignment horizontal="justify" vertical="center"/>
    </xf>
    <xf numFmtId="0" fontId="5" fillId="0" borderId="2" xfId="0" applyFont="1" applyBorder="1"/>
    <xf numFmtId="14" fontId="5" fillId="0" borderId="1" xfId="0" applyNumberFormat="1" applyFont="1" applyBorder="1" applyAlignment="1">
      <alignment horizontal="left"/>
    </xf>
    <xf numFmtId="43" fontId="5" fillId="3" borderId="1" xfId="1" applyFont="1" applyFill="1" applyBorder="1"/>
    <xf numFmtId="43" fontId="5" fillId="4" borderId="1" xfId="1" applyFont="1" applyFill="1" applyBorder="1"/>
    <xf numFmtId="43" fontId="5" fillId="4" borderId="1" xfId="1" applyFont="1" applyFill="1" applyBorder="1" applyAlignment="1">
      <alignment horizontal="left"/>
    </xf>
    <xf numFmtId="0" fontId="5" fillId="0" borderId="5" xfId="0" applyFont="1" applyBorder="1"/>
    <xf numFmtId="43" fontId="5" fillId="3" borderId="5" xfId="1" applyFont="1" applyFill="1" applyBorder="1"/>
    <xf numFmtId="43" fontId="5" fillId="4" borderId="5" xfId="1" applyFont="1" applyFill="1" applyBorder="1"/>
    <xf numFmtId="43" fontId="5" fillId="0" borderId="5" xfId="1" applyFont="1" applyBorder="1"/>
    <xf numFmtId="43" fontId="5" fillId="0" borderId="5" xfId="1" applyFont="1" applyBorder="1" applyAlignment="1">
      <alignment horizontal="right"/>
    </xf>
    <xf numFmtId="0" fontId="7" fillId="4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43" fontId="7" fillId="4" borderId="8" xfId="1" applyFont="1" applyFill="1" applyBorder="1" applyAlignment="1">
      <alignment vertical="center"/>
    </xf>
    <xf numFmtId="43" fontId="7" fillId="4" borderId="8" xfId="1" applyFont="1" applyFill="1" applyBorder="1" applyAlignment="1">
      <alignment horizontal="right" vertical="center"/>
    </xf>
    <xf numFmtId="0" fontId="7" fillId="4" borderId="9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5" fillId="5" borderId="6" xfId="0" applyFont="1" applyFill="1" applyBorder="1"/>
    <xf numFmtId="43" fontId="5" fillId="5" borderId="6" xfId="1" applyFont="1" applyFill="1" applyBorder="1"/>
    <xf numFmtId="43" fontId="5" fillId="5" borderId="6" xfId="1" applyFont="1" applyFill="1" applyBorder="1" applyAlignment="1">
      <alignment horizontal="right"/>
    </xf>
    <xf numFmtId="0" fontId="5" fillId="5" borderId="1" xfId="0" applyFont="1" applyFill="1" applyBorder="1"/>
    <xf numFmtId="43" fontId="5" fillId="5" borderId="1" xfId="1" applyFont="1" applyFill="1" applyBorder="1" applyAlignment="1">
      <alignment horizontal="right"/>
    </xf>
    <xf numFmtId="0" fontId="5" fillId="5" borderId="0" xfId="0" applyFont="1" applyFill="1"/>
    <xf numFmtId="43" fontId="5" fillId="5" borderId="0" xfId="1" applyFont="1" applyFill="1"/>
    <xf numFmtId="43" fontId="5" fillId="5" borderId="0" xfId="1" applyFont="1" applyFill="1" applyAlignment="1">
      <alignment horizontal="right"/>
    </xf>
    <xf numFmtId="43" fontId="5" fillId="3" borderId="0" xfId="1" applyFont="1" applyFill="1"/>
    <xf numFmtId="43" fontId="5" fillId="4" borderId="0" xfId="1" applyFont="1" applyFill="1"/>
    <xf numFmtId="43" fontId="5" fillId="0" borderId="0" xfId="1" applyFont="1"/>
    <xf numFmtId="43" fontId="5" fillId="0" borderId="0" xfId="1" applyFont="1" applyAlignment="1">
      <alignment horizontal="right"/>
    </xf>
    <xf numFmtId="43" fontId="4" fillId="7" borderId="0" xfId="1" applyFont="1" applyFill="1" applyBorder="1" applyAlignment="1">
      <alignment horizontal="right" vertical="center"/>
    </xf>
    <xf numFmtId="43" fontId="5" fillId="7" borderId="1" xfId="1" applyFont="1" applyFill="1" applyBorder="1" applyAlignment="1">
      <alignment horizontal="right"/>
    </xf>
    <xf numFmtId="43" fontId="5" fillId="7" borderId="5" xfId="1" applyFont="1" applyFill="1" applyBorder="1" applyAlignment="1">
      <alignment horizontal="right"/>
    </xf>
    <xf numFmtId="43" fontId="7" fillId="7" borderId="8" xfId="1" applyFont="1" applyFill="1" applyBorder="1" applyAlignment="1">
      <alignment vertical="center"/>
    </xf>
    <xf numFmtId="43" fontId="5" fillId="0" borderId="1" xfId="1" applyFont="1" applyBorder="1" applyAlignment="1">
      <alignment horizontal="left"/>
    </xf>
    <xf numFmtId="43" fontId="5" fillId="0" borderId="5" xfId="1" applyFont="1" applyBorder="1" applyAlignment="1">
      <alignment horizontal="left"/>
    </xf>
    <xf numFmtId="43" fontId="7" fillId="4" borderId="8" xfId="1" applyFont="1" applyFill="1" applyBorder="1" applyAlignment="1">
      <alignment horizontal="left" vertical="center"/>
    </xf>
    <xf numFmtId="43" fontId="5" fillId="5" borderId="6" xfId="1" applyFont="1" applyFill="1" applyBorder="1" applyAlignment="1">
      <alignment horizontal="left"/>
    </xf>
    <xf numFmtId="43" fontId="5" fillId="5" borderId="1" xfId="1" applyFont="1" applyFill="1" applyBorder="1" applyAlignment="1">
      <alignment horizontal="left"/>
    </xf>
    <xf numFmtId="43" fontId="5" fillId="5" borderId="0" xfId="1" applyFont="1" applyFill="1" applyAlignment="1">
      <alignment horizontal="left"/>
    </xf>
    <xf numFmtId="43" fontId="5" fillId="0" borderId="0" xfId="1" applyFont="1" applyAlignment="1">
      <alignment horizontal="left"/>
    </xf>
    <xf numFmtId="43" fontId="4" fillId="2" borderId="0" xfId="1" applyFont="1" applyFill="1" applyBorder="1" applyAlignment="1">
      <alignment horizontal="left" vertical="justify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/>
    <xf numFmtId="0" fontId="11" fillId="5" borderId="1" xfId="0" applyFont="1" applyFill="1" applyBorder="1"/>
    <xf numFmtId="0" fontId="12" fillId="5" borderId="1" xfId="0" applyFont="1" applyFill="1" applyBorder="1" applyAlignment="1">
      <alignment horizontal="justify" vertical="center"/>
    </xf>
    <xf numFmtId="0" fontId="12" fillId="6" borderId="1" xfId="0" applyFont="1" applyFill="1" applyBorder="1" applyAlignment="1">
      <alignment horizontal="justify" vertical="center"/>
    </xf>
    <xf numFmtId="0" fontId="10" fillId="4" borderId="1" xfId="0" applyFont="1" applyFill="1" applyBorder="1"/>
    <xf numFmtId="0" fontId="10" fillId="5" borderId="1" xfId="0" quotePrefix="1" applyFont="1" applyFill="1" applyBorder="1"/>
    <xf numFmtId="16" fontId="12" fillId="5" borderId="1" xfId="0" applyNumberFormat="1" applyFont="1" applyFill="1" applyBorder="1" applyAlignment="1">
      <alignment horizontal="justify" vertical="center"/>
    </xf>
    <xf numFmtId="0" fontId="16" fillId="4" borderId="1" xfId="0" applyFont="1" applyFill="1" applyBorder="1"/>
    <xf numFmtId="0" fontId="16" fillId="5" borderId="1" xfId="0" applyFont="1" applyFill="1" applyBorder="1"/>
    <xf numFmtId="14" fontId="16" fillId="5" borderId="1" xfId="0" applyNumberFormat="1" applyFont="1" applyFill="1" applyBorder="1"/>
    <xf numFmtId="14" fontId="16" fillId="5" borderId="1" xfId="0" applyNumberFormat="1" applyFont="1" applyFill="1" applyBorder="1" applyAlignment="1">
      <alignment horizontal="left"/>
    </xf>
    <xf numFmtId="0" fontId="17" fillId="5" borderId="1" xfId="0" applyFont="1" applyFill="1" applyBorder="1"/>
    <xf numFmtId="14" fontId="17" fillId="5" borderId="1" xfId="0" applyNumberFormat="1" applyFont="1" applyFill="1" applyBorder="1"/>
    <xf numFmtId="14" fontId="17" fillId="5" borderId="1" xfId="0" applyNumberFormat="1" applyFont="1" applyFill="1" applyBorder="1" applyAlignment="1">
      <alignment horizontal="left"/>
    </xf>
    <xf numFmtId="0" fontId="16" fillId="0" borderId="1" xfId="0" applyFont="1" applyBorder="1" applyAlignment="1">
      <alignment vertical="center"/>
    </xf>
    <xf numFmtId="0" fontId="10" fillId="4" borderId="6" xfId="0" applyFont="1" applyFill="1" applyBorder="1"/>
    <xf numFmtId="0" fontId="10" fillId="5" borderId="6" xfId="0" applyFont="1" applyFill="1" applyBorder="1"/>
    <xf numFmtId="0" fontId="15" fillId="8" borderId="10" xfId="0" applyFont="1" applyFill="1" applyBorder="1" applyAlignment="1">
      <alignment horizontal="justify" vertical="center"/>
    </xf>
    <xf numFmtId="0" fontId="16" fillId="4" borderId="11" xfId="0" applyFont="1" applyFill="1" applyBorder="1"/>
    <xf numFmtId="0" fontId="16" fillId="5" borderId="11" xfId="0" applyFont="1" applyFill="1" applyBorder="1"/>
    <xf numFmtId="16" fontId="15" fillId="9" borderId="10" xfId="0" applyNumberFormat="1" applyFont="1" applyFill="1" applyBorder="1" applyAlignment="1">
      <alignment horizontal="justify" vertical="center"/>
    </xf>
    <xf numFmtId="0" fontId="14" fillId="0" borderId="0" xfId="0" applyFont="1"/>
    <xf numFmtId="164" fontId="14" fillId="0" borderId="12" xfId="1" applyNumberFormat="1" applyFont="1" applyBorder="1"/>
    <xf numFmtId="0" fontId="14" fillId="0" borderId="12" xfId="0" applyFont="1" applyBorder="1" applyAlignment="1">
      <alignment horizontal="center"/>
    </xf>
    <xf numFmtId="0" fontId="14" fillId="0" borderId="12" xfId="0" applyFont="1" applyBorder="1"/>
    <xf numFmtId="164" fontId="13" fillId="10" borderId="5" xfId="1" applyNumberFormat="1" applyFont="1" applyFill="1" applyBorder="1"/>
    <xf numFmtId="164" fontId="0" fillId="10" borderId="5" xfId="1" applyNumberFormat="1" applyFont="1" applyFill="1" applyBorder="1"/>
    <xf numFmtId="164" fontId="0" fillId="10" borderId="5" xfId="1" applyNumberFormat="1" applyFont="1" applyFill="1" applyBorder="1" applyAlignment="1">
      <alignment horizontal="right"/>
    </xf>
    <xf numFmtId="0" fontId="0" fillId="10" borderId="5" xfId="0" applyFill="1" applyBorder="1"/>
    <xf numFmtId="164" fontId="13" fillId="11" borderId="5" xfId="1" applyNumberFormat="1" applyFont="1" applyFill="1" applyBorder="1"/>
    <xf numFmtId="164" fontId="0" fillId="11" borderId="5" xfId="1" applyNumberFormat="1" applyFont="1" applyFill="1" applyBorder="1"/>
    <xf numFmtId="0" fontId="0" fillId="11" borderId="5" xfId="0" applyFill="1" applyBorder="1"/>
    <xf numFmtId="164" fontId="13" fillId="11" borderId="1" xfId="1" applyNumberFormat="1" applyFont="1" applyFill="1" applyBorder="1"/>
    <xf numFmtId="164" fontId="13" fillId="12" borderId="1" xfId="1" applyNumberFormat="1" applyFont="1" applyFill="1" applyBorder="1"/>
    <xf numFmtId="164" fontId="0" fillId="12" borderId="1" xfId="1" applyNumberFormat="1" applyFont="1" applyFill="1" applyBorder="1"/>
    <xf numFmtId="0" fontId="0" fillId="12" borderId="1" xfId="0" applyFill="1" applyBorder="1"/>
    <xf numFmtId="164" fontId="13" fillId="10" borderId="1" xfId="1" applyNumberFormat="1" applyFont="1" applyFill="1" applyBorder="1"/>
    <xf numFmtId="164" fontId="0" fillId="10" borderId="1" xfId="1" applyNumberFormat="1" applyFont="1" applyFill="1" applyBorder="1"/>
    <xf numFmtId="0" fontId="0" fillId="10" borderId="1" xfId="0" applyFill="1" applyBorder="1"/>
    <xf numFmtId="0" fontId="0" fillId="5" borderId="0" xfId="0" applyFill="1"/>
    <xf numFmtId="0" fontId="18" fillId="5" borderId="0" xfId="0" applyFont="1" applyFill="1"/>
    <xf numFmtId="0" fontId="18" fillId="5" borderId="1" xfId="0" applyFont="1" applyFill="1" applyBorder="1"/>
    <xf numFmtId="0" fontId="19" fillId="4" borderId="1" xfId="0" applyFont="1" applyFill="1" applyBorder="1"/>
    <xf numFmtId="0" fontId="19" fillId="5" borderId="1" xfId="0" applyFont="1" applyFill="1" applyBorder="1"/>
    <xf numFmtId="14" fontId="19" fillId="5" borderId="1" xfId="0" applyNumberFormat="1" applyFont="1" applyFill="1" applyBorder="1"/>
    <xf numFmtId="14" fontId="19" fillId="5" borderId="1" xfId="0" applyNumberFormat="1" applyFont="1" applyFill="1" applyBorder="1" applyAlignment="1">
      <alignment horizontal="left"/>
    </xf>
    <xf numFmtId="0" fontId="19" fillId="0" borderId="1" xfId="0" applyFont="1" applyBorder="1" applyAlignment="1">
      <alignment vertical="center"/>
    </xf>
    <xf numFmtId="0" fontId="17" fillId="4" borderId="1" xfId="0" applyFont="1" applyFill="1" applyBorder="1"/>
    <xf numFmtId="0" fontId="17" fillId="13" borderId="1" xfId="0" applyFont="1" applyFill="1" applyBorder="1"/>
    <xf numFmtId="0" fontId="20" fillId="5" borderId="1" xfId="0" applyFont="1" applyFill="1" applyBorder="1"/>
    <xf numFmtId="16" fontId="21" fillId="9" borderId="10" xfId="0" applyNumberFormat="1" applyFont="1" applyFill="1" applyBorder="1" applyAlignment="1">
      <alignment horizontal="justify" vertical="center"/>
    </xf>
    <xf numFmtId="16" fontId="22" fillId="9" borderId="10" xfId="0" applyNumberFormat="1" applyFont="1" applyFill="1" applyBorder="1" applyAlignment="1">
      <alignment horizontal="justify" vertical="center"/>
    </xf>
    <xf numFmtId="0" fontId="21" fillId="5" borderId="1" xfId="0" applyFont="1" applyFill="1" applyBorder="1"/>
    <xf numFmtId="3" fontId="21" fillId="5" borderId="1" xfId="0" applyNumberFormat="1" applyFont="1" applyFill="1" applyBorder="1"/>
    <xf numFmtId="0" fontId="15" fillId="5" borderId="1" xfId="0" applyFont="1" applyFill="1" applyBorder="1"/>
    <xf numFmtId="0" fontId="21" fillId="5" borderId="11" xfId="0" applyFont="1" applyFill="1" applyBorder="1"/>
    <xf numFmtId="0" fontId="23" fillId="5" borderId="6" xfId="0" applyFont="1" applyFill="1" applyBorder="1"/>
    <xf numFmtId="0" fontId="23" fillId="5" borderId="1" xfId="0" applyFont="1" applyFill="1" applyBorder="1"/>
    <xf numFmtId="0" fontId="22" fillId="5" borderId="1" xfId="0" applyFont="1" applyFill="1" applyBorder="1"/>
    <xf numFmtId="3" fontId="22" fillId="5" borderId="1" xfId="0" applyNumberFormat="1" applyFont="1" applyFill="1" applyBorder="1"/>
    <xf numFmtId="0" fontId="22" fillId="5" borderId="11" xfId="0" applyFont="1" applyFill="1" applyBorder="1"/>
    <xf numFmtId="0" fontId="24" fillId="5" borderId="6" xfId="0" applyFont="1" applyFill="1" applyBorder="1"/>
    <xf numFmtId="0" fontId="24" fillId="5" borderId="1" xfId="0" applyFont="1" applyFill="1" applyBorder="1"/>
    <xf numFmtId="0" fontId="25" fillId="5" borderId="1" xfId="0" applyFont="1" applyFill="1" applyBorder="1"/>
    <xf numFmtId="3" fontId="25" fillId="5" borderId="1" xfId="0" applyNumberFormat="1" applyFont="1" applyFill="1" applyBorder="1"/>
    <xf numFmtId="0" fontId="26" fillId="5" borderId="1" xfId="0" applyFont="1" applyFill="1" applyBorder="1"/>
    <xf numFmtId="0" fontId="25" fillId="5" borderId="11" xfId="0" applyFont="1" applyFill="1" applyBorder="1"/>
    <xf numFmtId="0" fontId="27" fillId="5" borderId="6" xfId="0" applyFont="1" applyFill="1" applyBorder="1"/>
    <xf numFmtId="0" fontId="27" fillId="5" borderId="1" xfId="0" applyFont="1" applyFill="1" applyBorder="1"/>
    <xf numFmtId="16" fontId="28" fillId="9" borderId="10" xfId="0" applyNumberFormat="1" applyFont="1" applyFill="1" applyBorder="1" applyAlignment="1">
      <alignment horizontal="justify" vertical="center"/>
    </xf>
    <xf numFmtId="0" fontId="28" fillId="5" borderId="1" xfId="0" applyFont="1" applyFill="1" applyBorder="1"/>
    <xf numFmtId="3" fontId="28" fillId="5" borderId="1" xfId="0" applyNumberFormat="1" applyFont="1" applyFill="1" applyBorder="1"/>
    <xf numFmtId="0" fontId="28" fillId="5" borderId="11" xfId="0" applyFont="1" applyFill="1" applyBorder="1"/>
    <xf numFmtId="0" fontId="29" fillId="5" borderId="6" xfId="0" applyFont="1" applyFill="1" applyBorder="1"/>
    <xf numFmtId="0" fontId="29" fillId="5" borderId="1" xfId="0" applyFont="1" applyFill="1" applyBorder="1"/>
    <xf numFmtId="3" fontId="16" fillId="5" borderId="1" xfId="0" applyNumberFormat="1" applyFont="1" applyFill="1" applyBorder="1"/>
    <xf numFmtId="0" fontId="26" fillId="8" borderId="10" xfId="0" applyFont="1" applyFill="1" applyBorder="1" applyAlignment="1">
      <alignment horizontal="justify" vertical="center"/>
    </xf>
    <xf numFmtId="3" fontId="19" fillId="5" borderId="1" xfId="0" applyNumberFormat="1" applyFont="1" applyFill="1" applyBorder="1"/>
    <xf numFmtId="0" fontId="19" fillId="5" borderId="11" xfId="0" applyFont="1" applyFill="1" applyBorder="1"/>
    <xf numFmtId="0" fontId="11" fillId="5" borderId="6" xfId="0" applyFont="1" applyFill="1" applyBorder="1"/>
    <xf numFmtId="0" fontId="15" fillId="14" borderId="10" xfId="0" applyFont="1" applyFill="1" applyBorder="1" applyAlignment="1">
      <alignment horizontal="justify" vertical="center"/>
    </xf>
    <xf numFmtId="0" fontId="16" fillId="14" borderId="1" xfId="0" applyFont="1" applyFill="1" applyBorder="1"/>
    <xf numFmtId="0" fontId="17" fillId="14" borderId="1" xfId="0" applyFont="1" applyFill="1" applyBorder="1"/>
    <xf numFmtId="0" fontId="19" fillId="14" borderId="1" xfId="0" applyFont="1" applyFill="1" applyBorder="1"/>
    <xf numFmtId="0" fontId="16" fillId="14" borderId="11" xfId="0" applyFont="1" applyFill="1" applyBorder="1"/>
    <xf numFmtId="0" fontId="10" fillId="14" borderId="6" xfId="0" applyFont="1" applyFill="1" applyBorder="1"/>
    <xf numFmtId="0" fontId="10" fillId="14" borderId="1" xfId="0" applyFont="1" applyFill="1" applyBorder="1"/>
    <xf numFmtId="16" fontId="30" fillId="9" borderId="10" xfId="0" applyNumberFormat="1" applyFont="1" applyFill="1" applyBorder="1" applyAlignment="1">
      <alignment horizontal="justify" vertical="center"/>
    </xf>
    <xf numFmtId="0" fontId="30" fillId="5" borderId="1" xfId="0" applyFont="1" applyFill="1" applyBorder="1"/>
    <xf numFmtId="3" fontId="30" fillId="5" borderId="1" xfId="0" applyNumberFormat="1" applyFont="1" applyFill="1" applyBorder="1"/>
    <xf numFmtId="0" fontId="30" fillId="5" borderId="11" xfId="0" applyFont="1" applyFill="1" applyBorder="1"/>
    <xf numFmtId="0" fontId="31" fillId="5" borderId="6" xfId="0" applyFont="1" applyFill="1" applyBorder="1"/>
    <xf numFmtId="0" fontId="31" fillId="5" borderId="1" xfId="0" applyFont="1" applyFill="1" applyBorder="1"/>
    <xf numFmtId="16" fontId="32" fillId="9" borderId="10" xfId="0" applyNumberFormat="1" applyFont="1" applyFill="1" applyBorder="1" applyAlignment="1">
      <alignment horizontal="justify" vertical="center"/>
    </xf>
    <xf numFmtId="0" fontId="32" fillId="5" borderId="1" xfId="0" applyFont="1" applyFill="1" applyBorder="1"/>
    <xf numFmtId="3" fontId="32" fillId="5" borderId="1" xfId="0" applyNumberFormat="1" applyFont="1" applyFill="1" applyBorder="1"/>
    <xf numFmtId="0" fontId="32" fillId="5" borderId="11" xfId="0" applyFont="1" applyFill="1" applyBorder="1"/>
    <xf numFmtId="0" fontId="33" fillId="5" borderId="6" xfId="0" applyFont="1" applyFill="1" applyBorder="1"/>
    <xf numFmtId="0" fontId="33" fillId="5" borderId="1" xfId="0" applyFont="1" applyFill="1" applyBorder="1"/>
    <xf numFmtId="3" fontId="16" fillId="14" borderId="1" xfId="0" applyNumberFormat="1" applyFont="1" applyFill="1" applyBorder="1"/>
    <xf numFmtId="3" fontId="17" fillId="5" borderId="1" xfId="0" applyNumberFormat="1" applyFont="1" applyFill="1" applyBorder="1"/>
  </cellXfs>
  <cellStyles count="5">
    <cellStyle name="Comma" xfId="1" builtinId="3"/>
    <cellStyle name="Comma 2" xfId="4"/>
    <cellStyle name="Comma 3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1"/>
  <sheetViews>
    <sheetView workbookViewId="0">
      <selection sqref="A1:E1048576"/>
    </sheetView>
  </sheetViews>
  <sheetFormatPr defaultRowHeight="13.5" x14ac:dyDescent="0.25"/>
  <cols>
    <col min="1" max="1" width="20.140625" style="7" customWidth="1"/>
    <col min="2" max="2" width="36.140625" style="7" customWidth="1"/>
    <col min="3" max="3" width="13.5703125" style="7" bestFit="1" customWidth="1"/>
    <col min="4" max="4" width="16.28515625" style="7" customWidth="1"/>
    <col min="5" max="5" width="9.140625" style="7"/>
    <col min="6" max="6" width="15.42578125" style="53" customWidth="1"/>
    <col min="7" max="7" width="12.7109375" style="39" bestFit="1" customWidth="1"/>
    <col min="8" max="8" width="11.5703125" style="40" bestFit="1" customWidth="1"/>
    <col min="9" max="9" width="12.7109375" style="42" bestFit="1" customWidth="1"/>
    <col min="10" max="10" width="10.42578125" style="41" bestFit="1" customWidth="1"/>
    <col min="11" max="11" width="11.5703125" style="41" bestFit="1" customWidth="1"/>
    <col min="12" max="12" width="17.7109375" style="42" customWidth="1"/>
    <col min="13" max="13" width="14.140625" style="7" customWidth="1"/>
    <col min="14" max="14" width="23.85546875" style="7" customWidth="1"/>
    <col min="15" max="16384" width="9.140625" style="7"/>
  </cols>
  <sheetData>
    <row r="1" spans="1:15" ht="34.5" customHeight="1" x14ac:dyDescent="0.25">
      <c r="A1" s="3"/>
      <c r="B1" s="55" t="s">
        <v>0</v>
      </c>
      <c r="C1" s="56"/>
      <c r="D1" s="56"/>
      <c r="E1" s="56"/>
      <c r="F1" s="47"/>
      <c r="G1" s="56"/>
      <c r="H1" s="4"/>
      <c r="I1" s="6"/>
      <c r="J1" s="5"/>
      <c r="K1" s="5"/>
      <c r="L1" s="6"/>
      <c r="M1" s="3"/>
      <c r="N1" s="3"/>
    </row>
    <row r="2" spans="1:15" s="13" customFormat="1" ht="30" x14ac:dyDescent="0.25">
      <c r="A2" s="8" t="s">
        <v>104</v>
      </c>
      <c r="B2" s="1" t="s">
        <v>1</v>
      </c>
      <c r="C2" s="1" t="s">
        <v>105</v>
      </c>
      <c r="D2" s="1" t="s">
        <v>39</v>
      </c>
      <c r="E2" s="1" t="s">
        <v>2</v>
      </c>
      <c r="F2" s="54" t="s">
        <v>37</v>
      </c>
      <c r="G2" s="9" t="s">
        <v>108</v>
      </c>
      <c r="H2" s="10" t="s">
        <v>3</v>
      </c>
      <c r="I2" s="43" t="s">
        <v>35</v>
      </c>
      <c r="J2" s="2" t="s">
        <v>110</v>
      </c>
      <c r="K2" s="11"/>
      <c r="L2" s="2" t="s">
        <v>109</v>
      </c>
      <c r="M2" s="1" t="s">
        <v>32</v>
      </c>
      <c r="N2" s="12" t="s">
        <v>4</v>
      </c>
      <c r="O2" s="1"/>
    </row>
    <row r="3" spans="1:15" x14ac:dyDescent="0.25">
      <c r="A3" s="14" t="s">
        <v>64</v>
      </c>
      <c r="B3" s="3" t="s">
        <v>5</v>
      </c>
      <c r="C3" s="3" t="s">
        <v>106</v>
      </c>
      <c r="D3" s="15">
        <v>45782</v>
      </c>
      <c r="E3" s="3" t="s">
        <v>6</v>
      </c>
      <c r="F3" s="47">
        <v>10000</v>
      </c>
      <c r="G3" s="16">
        <v>10000</v>
      </c>
      <c r="H3" s="17">
        <v>1000</v>
      </c>
      <c r="I3" s="44">
        <v>10000</v>
      </c>
      <c r="J3" s="5"/>
      <c r="K3" s="5"/>
      <c r="L3" s="6"/>
      <c r="M3" s="3" t="s">
        <v>33</v>
      </c>
      <c r="N3" s="3"/>
    </row>
    <row r="4" spans="1:15" x14ac:dyDescent="0.25">
      <c r="A4" s="14" t="s">
        <v>65</v>
      </c>
      <c r="B4" s="3" t="s">
        <v>7</v>
      </c>
      <c r="C4" s="3" t="s">
        <v>106</v>
      </c>
      <c r="D4" s="15">
        <v>45782</v>
      </c>
      <c r="E4" s="3" t="s">
        <v>6</v>
      </c>
      <c r="F4" s="47"/>
      <c r="G4" s="16">
        <v>15000</v>
      </c>
      <c r="H4" s="17">
        <v>1000</v>
      </c>
      <c r="I4" s="44">
        <v>15000</v>
      </c>
      <c r="J4" s="5"/>
      <c r="K4" s="5"/>
      <c r="L4" s="6"/>
      <c r="M4" s="3" t="s">
        <v>34</v>
      </c>
      <c r="N4" s="3"/>
    </row>
    <row r="5" spans="1:15" x14ac:dyDescent="0.25">
      <c r="A5" s="14" t="s">
        <v>66</v>
      </c>
      <c r="B5" s="3" t="s">
        <v>8</v>
      </c>
      <c r="C5" s="3" t="s">
        <v>106</v>
      </c>
      <c r="D5" s="15">
        <v>45782</v>
      </c>
      <c r="E5" s="3" t="s">
        <v>6</v>
      </c>
      <c r="F5" s="47">
        <v>4000</v>
      </c>
      <c r="G5" s="16">
        <v>8000</v>
      </c>
      <c r="H5" s="17">
        <v>1000</v>
      </c>
      <c r="I5" s="44">
        <v>8000</v>
      </c>
      <c r="J5" s="5"/>
      <c r="K5" s="5"/>
      <c r="L5" s="6"/>
      <c r="M5" s="3" t="s">
        <v>33</v>
      </c>
      <c r="N5" s="3"/>
    </row>
    <row r="6" spans="1:15" x14ac:dyDescent="0.25">
      <c r="A6" s="14" t="s">
        <v>67</v>
      </c>
      <c r="B6" s="3" t="s">
        <v>9</v>
      </c>
      <c r="C6" s="3" t="s">
        <v>106</v>
      </c>
      <c r="D6" s="15">
        <v>45782</v>
      </c>
      <c r="E6" s="3" t="s">
        <v>6</v>
      </c>
      <c r="F6" s="47"/>
      <c r="G6" s="16">
        <v>15000</v>
      </c>
      <c r="H6" s="17">
        <v>1000</v>
      </c>
      <c r="I6" s="44">
        <v>0</v>
      </c>
      <c r="J6" s="5"/>
      <c r="K6" s="5">
        <v>15000</v>
      </c>
      <c r="L6" s="6"/>
      <c r="M6" s="3" t="s">
        <v>33</v>
      </c>
      <c r="N6" s="3"/>
    </row>
    <row r="7" spans="1:15" x14ac:dyDescent="0.25">
      <c r="A7" s="14" t="s">
        <v>68</v>
      </c>
      <c r="B7" s="3" t="s">
        <v>10</v>
      </c>
      <c r="C7" s="3" t="s">
        <v>106</v>
      </c>
      <c r="D7" s="15">
        <v>45782</v>
      </c>
      <c r="E7" s="3" t="s">
        <v>6</v>
      </c>
      <c r="F7" s="47"/>
      <c r="G7" s="16">
        <v>7500</v>
      </c>
      <c r="H7" s="17">
        <v>1000</v>
      </c>
      <c r="I7" s="44">
        <v>7500</v>
      </c>
      <c r="J7" s="5"/>
      <c r="K7" s="5"/>
      <c r="L7" s="6"/>
      <c r="M7" s="3" t="s">
        <v>33</v>
      </c>
      <c r="N7" s="3"/>
    </row>
    <row r="8" spans="1:15" x14ac:dyDescent="0.25">
      <c r="A8" s="14" t="s">
        <v>69</v>
      </c>
      <c r="B8" s="3" t="s">
        <v>11</v>
      </c>
      <c r="C8" s="3" t="s">
        <v>106</v>
      </c>
      <c r="D8" s="15">
        <v>45874</v>
      </c>
      <c r="E8" s="3" t="s">
        <v>6</v>
      </c>
      <c r="F8" s="47">
        <v>1500</v>
      </c>
      <c r="G8" s="16">
        <v>8000</v>
      </c>
      <c r="H8" s="17">
        <v>1000</v>
      </c>
      <c r="I8" s="44">
        <v>8000</v>
      </c>
      <c r="J8" s="5"/>
      <c r="K8" s="5"/>
      <c r="L8" s="6"/>
      <c r="M8" s="3" t="s">
        <v>33</v>
      </c>
      <c r="N8" s="3"/>
    </row>
    <row r="9" spans="1:15" x14ac:dyDescent="0.25">
      <c r="A9" s="14" t="s">
        <v>70</v>
      </c>
      <c r="B9" s="3" t="s">
        <v>12</v>
      </c>
      <c r="C9" s="3" t="s">
        <v>106</v>
      </c>
      <c r="D9" s="15">
        <v>45996</v>
      </c>
      <c r="E9" s="3" t="s">
        <v>6</v>
      </c>
      <c r="F9" s="47">
        <v>0</v>
      </c>
      <c r="G9" s="16">
        <v>7500</v>
      </c>
      <c r="H9" s="17">
        <v>1000</v>
      </c>
      <c r="I9" s="44">
        <v>0</v>
      </c>
      <c r="J9" s="6">
        <v>0</v>
      </c>
      <c r="K9" s="6">
        <v>0</v>
      </c>
      <c r="L9" s="6">
        <v>0</v>
      </c>
      <c r="M9" s="3" t="s">
        <v>33</v>
      </c>
      <c r="N9" s="3" t="s">
        <v>38</v>
      </c>
    </row>
    <row r="10" spans="1:15" x14ac:dyDescent="0.25">
      <c r="A10" s="14" t="s">
        <v>71</v>
      </c>
      <c r="B10" s="3" t="s">
        <v>13</v>
      </c>
      <c r="C10" s="3" t="s">
        <v>106</v>
      </c>
      <c r="D10" s="15">
        <v>45996</v>
      </c>
      <c r="E10" s="3" t="s">
        <v>6</v>
      </c>
      <c r="F10" s="47">
        <v>10000</v>
      </c>
      <c r="G10" s="16">
        <v>15000</v>
      </c>
      <c r="H10" s="17">
        <v>0</v>
      </c>
      <c r="I10" s="44">
        <v>10000</v>
      </c>
      <c r="J10" s="5"/>
      <c r="K10" s="5"/>
      <c r="L10" s="6"/>
      <c r="M10" s="3" t="s">
        <v>33</v>
      </c>
      <c r="N10" s="3"/>
    </row>
    <row r="11" spans="1:15" x14ac:dyDescent="0.25">
      <c r="A11" s="14" t="s">
        <v>72</v>
      </c>
      <c r="B11" s="3" t="s">
        <v>14</v>
      </c>
      <c r="C11" s="3" t="s">
        <v>106</v>
      </c>
      <c r="D11" s="15">
        <v>45996</v>
      </c>
      <c r="E11" s="3" t="s">
        <v>6</v>
      </c>
      <c r="F11" s="47"/>
      <c r="G11" s="16">
        <v>15000</v>
      </c>
      <c r="H11" s="17">
        <v>1000</v>
      </c>
      <c r="I11" s="44"/>
      <c r="J11" s="5"/>
      <c r="K11" s="5"/>
      <c r="L11" s="6"/>
      <c r="M11" s="3" t="s">
        <v>33</v>
      </c>
      <c r="N11" s="3"/>
    </row>
    <row r="12" spans="1:15" x14ac:dyDescent="0.25">
      <c r="A12" s="14" t="s">
        <v>73</v>
      </c>
      <c r="B12" s="3" t="s">
        <v>15</v>
      </c>
      <c r="C12" s="3" t="s">
        <v>106</v>
      </c>
      <c r="D12" s="15">
        <v>45996</v>
      </c>
      <c r="E12" s="3" t="s">
        <v>6</v>
      </c>
      <c r="F12" s="47"/>
      <c r="G12" s="16">
        <v>5000</v>
      </c>
      <c r="H12" s="17">
        <v>1000</v>
      </c>
      <c r="I12" s="44"/>
      <c r="J12" s="5"/>
      <c r="K12" s="5">
        <v>15000</v>
      </c>
      <c r="L12" s="6"/>
      <c r="M12" s="3" t="s">
        <v>33</v>
      </c>
      <c r="N12" s="3"/>
    </row>
    <row r="13" spans="1:15" x14ac:dyDescent="0.25">
      <c r="A13" s="14" t="s">
        <v>74</v>
      </c>
      <c r="B13" s="3" t="s">
        <v>16</v>
      </c>
      <c r="C13" s="3" t="s">
        <v>106</v>
      </c>
      <c r="D13" s="3" t="s">
        <v>40</v>
      </c>
      <c r="E13" s="3" t="s">
        <v>6</v>
      </c>
      <c r="F13" s="47"/>
      <c r="G13" s="16">
        <v>7500</v>
      </c>
      <c r="H13" s="17">
        <v>1000</v>
      </c>
      <c r="I13" s="44">
        <v>1000</v>
      </c>
      <c r="J13" s="5"/>
      <c r="K13" s="5">
        <v>6500</v>
      </c>
      <c r="L13" s="6"/>
      <c r="M13" s="3" t="s">
        <v>33</v>
      </c>
      <c r="N13" s="3"/>
    </row>
    <row r="14" spans="1:15" x14ac:dyDescent="0.25">
      <c r="A14" s="14" t="s">
        <v>75</v>
      </c>
      <c r="B14" s="3" t="s">
        <v>17</v>
      </c>
      <c r="C14" s="3" t="s">
        <v>106</v>
      </c>
      <c r="D14" s="3" t="s">
        <v>41</v>
      </c>
      <c r="E14" s="3" t="s">
        <v>6</v>
      </c>
      <c r="F14" s="47">
        <v>1500</v>
      </c>
      <c r="G14" s="16">
        <v>10000</v>
      </c>
      <c r="H14" s="17">
        <v>0</v>
      </c>
      <c r="I14" s="44">
        <v>4500</v>
      </c>
      <c r="J14" s="5"/>
      <c r="K14" s="5"/>
      <c r="L14" s="6"/>
      <c r="M14" s="3" t="s">
        <v>33</v>
      </c>
      <c r="N14" s="3"/>
    </row>
    <row r="15" spans="1:15" x14ac:dyDescent="0.25">
      <c r="A15" s="14" t="s">
        <v>76</v>
      </c>
      <c r="B15" s="3" t="s">
        <v>18</v>
      </c>
      <c r="C15" s="3" t="s">
        <v>106</v>
      </c>
      <c r="D15" s="3" t="s">
        <v>42</v>
      </c>
      <c r="E15" s="3" t="s">
        <v>6</v>
      </c>
      <c r="F15" s="47"/>
      <c r="G15" s="16">
        <v>7500</v>
      </c>
      <c r="H15" s="17">
        <v>1000</v>
      </c>
      <c r="I15" s="44"/>
      <c r="J15" s="5"/>
      <c r="K15" s="5">
        <v>15000</v>
      </c>
      <c r="L15" s="6"/>
      <c r="M15" s="3" t="s">
        <v>33</v>
      </c>
      <c r="N15" s="3"/>
    </row>
    <row r="16" spans="1:15" x14ac:dyDescent="0.25">
      <c r="A16" s="14" t="s">
        <v>77</v>
      </c>
      <c r="B16" s="3" t="s">
        <v>19</v>
      </c>
      <c r="C16" s="3" t="s">
        <v>106</v>
      </c>
      <c r="D16" s="3" t="s">
        <v>42</v>
      </c>
      <c r="E16" s="3" t="s">
        <v>6</v>
      </c>
      <c r="F16" s="47"/>
      <c r="G16" s="16">
        <v>15000</v>
      </c>
      <c r="H16" s="17">
        <v>1000</v>
      </c>
      <c r="I16" s="44">
        <v>15000</v>
      </c>
      <c r="J16" s="5"/>
      <c r="K16" s="5"/>
      <c r="L16" s="6"/>
      <c r="M16" s="3" t="s">
        <v>33</v>
      </c>
      <c r="N16" s="3"/>
    </row>
    <row r="17" spans="1:14" x14ac:dyDescent="0.25">
      <c r="A17" s="14" t="s">
        <v>78</v>
      </c>
      <c r="B17" s="3" t="s">
        <v>20</v>
      </c>
      <c r="C17" s="3" t="s">
        <v>106</v>
      </c>
      <c r="D17" s="3" t="s">
        <v>42</v>
      </c>
      <c r="E17" s="3" t="s">
        <v>6</v>
      </c>
      <c r="F17" s="47"/>
      <c r="G17" s="16">
        <v>15000</v>
      </c>
      <c r="H17" s="17">
        <v>1000</v>
      </c>
      <c r="I17" s="44">
        <v>15000</v>
      </c>
      <c r="J17" s="5"/>
      <c r="K17" s="5"/>
      <c r="L17" s="6"/>
      <c r="M17" s="3" t="s">
        <v>34</v>
      </c>
      <c r="N17" s="3"/>
    </row>
    <row r="18" spans="1:14" x14ac:dyDescent="0.25">
      <c r="A18" s="14" t="s">
        <v>79</v>
      </c>
      <c r="B18" s="3" t="s">
        <v>21</v>
      </c>
      <c r="C18" s="3" t="s">
        <v>106</v>
      </c>
      <c r="D18" s="3" t="s">
        <v>42</v>
      </c>
      <c r="E18" s="3" t="s">
        <v>6</v>
      </c>
      <c r="F18" s="47"/>
      <c r="G18" s="16">
        <v>15000</v>
      </c>
      <c r="H18" s="17">
        <v>1000</v>
      </c>
      <c r="I18" s="44">
        <v>15000</v>
      </c>
      <c r="J18" s="5"/>
      <c r="K18" s="5"/>
      <c r="L18" s="6"/>
      <c r="M18" s="3" t="s">
        <v>34</v>
      </c>
      <c r="N18" s="3"/>
    </row>
    <row r="19" spans="1:14" x14ac:dyDescent="0.25">
      <c r="A19" s="14" t="s">
        <v>80</v>
      </c>
      <c r="B19" s="3" t="s">
        <v>22</v>
      </c>
      <c r="C19" s="3" t="s">
        <v>106</v>
      </c>
      <c r="D19" s="3" t="s">
        <v>42</v>
      </c>
      <c r="E19" s="3" t="s">
        <v>6</v>
      </c>
      <c r="F19" s="47"/>
      <c r="G19" s="16">
        <v>15000</v>
      </c>
      <c r="H19" s="17">
        <v>1000</v>
      </c>
      <c r="I19" s="44">
        <v>15000</v>
      </c>
      <c r="J19" s="5"/>
      <c r="K19" s="5"/>
      <c r="L19" s="6"/>
      <c r="M19" s="3" t="s">
        <v>34</v>
      </c>
      <c r="N19" s="3"/>
    </row>
    <row r="20" spans="1:14" x14ac:dyDescent="0.25">
      <c r="A20" s="14" t="s">
        <v>81</v>
      </c>
      <c r="B20" s="3" t="s">
        <v>36</v>
      </c>
      <c r="C20" s="3" t="s">
        <v>106</v>
      </c>
      <c r="D20" s="3" t="s">
        <v>43</v>
      </c>
      <c r="E20" s="3" t="s">
        <v>6</v>
      </c>
      <c r="F20" s="47"/>
      <c r="G20" s="16">
        <v>7500</v>
      </c>
      <c r="H20" s="17">
        <v>0</v>
      </c>
      <c r="I20" s="44">
        <v>7500</v>
      </c>
      <c r="J20" s="5"/>
      <c r="K20" s="5"/>
      <c r="L20" s="6"/>
      <c r="M20" s="3" t="s">
        <v>33</v>
      </c>
      <c r="N20" s="3"/>
    </row>
    <row r="21" spans="1:14" x14ac:dyDescent="0.25">
      <c r="A21" s="14" t="s">
        <v>82</v>
      </c>
      <c r="B21" s="3" t="s">
        <v>23</v>
      </c>
      <c r="C21" s="3" t="s">
        <v>106</v>
      </c>
      <c r="D21" s="3" t="s">
        <v>44</v>
      </c>
      <c r="E21" s="3" t="s">
        <v>6</v>
      </c>
      <c r="F21" s="47"/>
      <c r="G21" s="16">
        <v>15000</v>
      </c>
      <c r="H21" s="17">
        <v>1000</v>
      </c>
      <c r="I21" s="44">
        <v>15000</v>
      </c>
      <c r="J21" s="5"/>
      <c r="K21" s="5"/>
      <c r="L21" s="6"/>
      <c r="M21" s="3" t="s">
        <v>34</v>
      </c>
      <c r="N21" s="3"/>
    </row>
    <row r="22" spans="1:14" x14ac:dyDescent="0.25">
      <c r="A22" s="14" t="s">
        <v>83</v>
      </c>
      <c r="B22" s="3" t="s">
        <v>24</v>
      </c>
      <c r="C22" s="3" t="s">
        <v>106</v>
      </c>
      <c r="D22" s="15">
        <v>45782</v>
      </c>
      <c r="E22" s="3" t="s">
        <v>6</v>
      </c>
      <c r="F22" s="47"/>
      <c r="G22" s="16">
        <v>7500</v>
      </c>
      <c r="H22" s="17">
        <v>0</v>
      </c>
      <c r="I22" s="44">
        <v>2500</v>
      </c>
      <c r="J22" s="5"/>
      <c r="K22" s="5">
        <v>5000</v>
      </c>
      <c r="L22" s="6"/>
      <c r="M22" s="3" t="s">
        <v>33</v>
      </c>
      <c r="N22" s="3"/>
    </row>
    <row r="23" spans="1:14" x14ac:dyDescent="0.25">
      <c r="A23" s="14" t="s">
        <v>84</v>
      </c>
      <c r="B23" s="3" t="s">
        <v>25</v>
      </c>
      <c r="C23" s="3" t="s">
        <v>106</v>
      </c>
      <c r="D23" s="15">
        <v>45782</v>
      </c>
      <c r="E23" s="3" t="s">
        <v>6</v>
      </c>
      <c r="F23" s="47"/>
      <c r="G23" s="16">
        <v>7500</v>
      </c>
      <c r="H23" s="17">
        <v>1000</v>
      </c>
      <c r="I23" s="44">
        <v>0</v>
      </c>
      <c r="J23" s="5"/>
      <c r="K23" s="5">
        <v>7500</v>
      </c>
      <c r="L23" s="6"/>
      <c r="M23" s="3" t="s">
        <v>33</v>
      </c>
      <c r="N23" s="3"/>
    </row>
    <row r="24" spans="1:14" x14ac:dyDescent="0.25">
      <c r="A24" s="14" t="s">
        <v>85</v>
      </c>
      <c r="B24" s="3" t="s">
        <v>26</v>
      </c>
      <c r="C24" s="3" t="s">
        <v>106</v>
      </c>
      <c r="D24" s="3" t="s">
        <v>45</v>
      </c>
      <c r="E24" s="3" t="s">
        <v>6</v>
      </c>
      <c r="F24" s="47"/>
      <c r="G24" s="16">
        <v>15000</v>
      </c>
      <c r="H24" s="17">
        <v>0</v>
      </c>
      <c r="I24" s="44">
        <v>15000</v>
      </c>
      <c r="J24" s="5"/>
      <c r="K24" s="5"/>
      <c r="L24" s="6"/>
      <c r="M24" s="3" t="s">
        <v>33</v>
      </c>
      <c r="N24" s="3"/>
    </row>
    <row r="25" spans="1:14" x14ac:dyDescent="0.25">
      <c r="A25" s="14" t="s">
        <v>86</v>
      </c>
      <c r="B25" s="3" t="s">
        <v>27</v>
      </c>
      <c r="C25" s="3" t="s">
        <v>106</v>
      </c>
      <c r="D25" s="3" t="s">
        <v>45</v>
      </c>
      <c r="E25" s="3" t="s">
        <v>6</v>
      </c>
      <c r="F25" s="47"/>
      <c r="G25" s="16">
        <v>7500</v>
      </c>
      <c r="H25" s="17">
        <v>0</v>
      </c>
      <c r="I25" s="44">
        <v>7500</v>
      </c>
      <c r="J25" s="5"/>
      <c r="K25" s="5"/>
      <c r="L25" s="6"/>
      <c r="M25" s="3" t="s">
        <v>33</v>
      </c>
      <c r="N25" s="3"/>
    </row>
    <row r="26" spans="1:14" x14ac:dyDescent="0.25">
      <c r="A26" s="14" t="s">
        <v>87</v>
      </c>
      <c r="B26" s="3" t="s">
        <v>28</v>
      </c>
      <c r="C26" s="3" t="s">
        <v>106</v>
      </c>
      <c r="D26" s="3" t="s">
        <v>45</v>
      </c>
      <c r="E26" s="3" t="s">
        <v>6</v>
      </c>
      <c r="F26" s="47"/>
      <c r="G26" s="16">
        <v>15000</v>
      </c>
      <c r="H26" s="17">
        <v>0</v>
      </c>
      <c r="I26" s="44">
        <v>15000</v>
      </c>
      <c r="J26" s="5"/>
      <c r="K26" s="5"/>
      <c r="L26" s="6"/>
      <c r="M26" s="3" t="s">
        <v>33</v>
      </c>
      <c r="N26" s="3"/>
    </row>
    <row r="27" spans="1:14" x14ac:dyDescent="0.25">
      <c r="A27" s="14" t="s">
        <v>88</v>
      </c>
      <c r="B27" s="3" t="s">
        <v>29</v>
      </c>
      <c r="C27" s="3" t="s">
        <v>106</v>
      </c>
      <c r="D27" s="3" t="s">
        <v>46</v>
      </c>
      <c r="E27" s="3" t="s">
        <v>6</v>
      </c>
      <c r="F27" s="47"/>
      <c r="G27" s="16">
        <v>15000</v>
      </c>
      <c r="H27" s="17">
        <v>0</v>
      </c>
      <c r="I27" s="44">
        <v>15000</v>
      </c>
      <c r="J27" s="5"/>
      <c r="K27" s="5"/>
      <c r="L27" s="6"/>
      <c r="M27" s="3" t="s">
        <v>33</v>
      </c>
      <c r="N27" s="3"/>
    </row>
    <row r="28" spans="1:14" x14ac:dyDescent="0.25">
      <c r="A28" s="14" t="s">
        <v>89</v>
      </c>
      <c r="B28" s="3" t="s">
        <v>30</v>
      </c>
      <c r="C28" s="3" t="s">
        <v>106</v>
      </c>
      <c r="D28" s="15">
        <v>45722</v>
      </c>
      <c r="E28" s="3" t="s">
        <v>6</v>
      </c>
      <c r="F28" s="47"/>
      <c r="G28" s="16">
        <v>15000</v>
      </c>
      <c r="H28" s="17">
        <v>1000</v>
      </c>
      <c r="I28" s="44">
        <v>5000</v>
      </c>
      <c r="J28" s="5"/>
      <c r="K28" s="5"/>
      <c r="L28" s="6"/>
      <c r="M28" s="3" t="s">
        <v>33</v>
      </c>
      <c r="N28" s="3"/>
    </row>
    <row r="29" spans="1:14" x14ac:dyDescent="0.25">
      <c r="A29" s="14" t="s">
        <v>90</v>
      </c>
      <c r="B29" s="3" t="s">
        <v>31</v>
      </c>
      <c r="C29" s="3" t="s">
        <v>106</v>
      </c>
      <c r="D29" s="15">
        <v>45722</v>
      </c>
      <c r="E29" s="3" t="s">
        <v>6</v>
      </c>
      <c r="F29" s="47"/>
      <c r="G29" s="16">
        <v>7500</v>
      </c>
      <c r="H29" s="17">
        <v>1000</v>
      </c>
      <c r="I29" s="44">
        <v>6500</v>
      </c>
      <c r="J29" s="5">
        <v>1000</v>
      </c>
      <c r="K29" s="5"/>
      <c r="L29" s="6"/>
      <c r="M29" s="3" t="s">
        <v>33</v>
      </c>
      <c r="N29" s="3"/>
    </row>
    <row r="30" spans="1:14" x14ac:dyDescent="0.25">
      <c r="A30" s="14" t="s">
        <v>91</v>
      </c>
      <c r="B30" s="3" t="s">
        <v>47</v>
      </c>
      <c r="C30" s="3" t="s">
        <v>107</v>
      </c>
      <c r="D30" s="3" t="s">
        <v>59</v>
      </c>
      <c r="E30" s="3" t="s">
        <v>6</v>
      </c>
      <c r="F30" s="47"/>
      <c r="G30" s="16">
        <v>6000</v>
      </c>
      <c r="H30" s="17"/>
      <c r="I30" s="44"/>
      <c r="J30" s="5"/>
      <c r="K30" s="5"/>
      <c r="L30" s="6"/>
      <c r="M30" s="3" t="s">
        <v>62</v>
      </c>
      <c r="N30" s="3"/>
    </row>
    <row r="31" spans="1:14" x14ac:dyDescent="0.25">
      <c r="A31" s="14" t="s">
        <v>92</v>
      </c>
      <c r="B31" s="3" t="s">
        <v>48</v>
      </c>
      <c r="C31" s="3" t="s">
        <v>107</v>
      </c>
      <c r="D31" s="3" t="s">
        <v>59</v>
      </c>
      <c r="E31" s="3" t="s">
        <v>6</v>
      </c>
      <c r="F31" s="47"/>
      <c r="G31" s="16">
        <v>5000</v>
      </c>
      <c r="H31" s="18"/>
      <c r="I31" s="44"/>
      <c r="J31" s="5"/>
      <c r="K31" s="5"/>
      <c r="L31" s="6"/>
      <c r="M31" s="3" t="s">
        <v>62</v>
      </c>
      <c r="N31" s="3"/>
    </row>
    <row r="32" spans="1:14" x14ac:dyDescent="0.25">
      <c r="A32" s="14" t="s">
        <v>93</v>
      </c>
      <c r="B32" s="3" t="s">
        <v>49</v>
      </c>
      <c r="C32" s="3" t="s">
        <v>107</v>
      </c>
      <c r="D32" s="3" t="s">
        <v>59</v>
      </c>
      <c r="E32" s="3" t="s">
        <v>6</v>
      </c>
      <c r="F32" s="47"/>
      <c r="G32" s="16">
        <v>5000</v>
      </c>
      <c r="H32" s="17"/>
      <c r="I32" s="44"/>
      <c r="J32" s="5"/>
      <c r="K32" s="5"/>
      <c r="L32" s="6"/>
      <c r="M32" s="3" t="s">
        <v>62</v>
      </c>
      <c r="N32" s="3"/>
    </row>
    <row r="33" spans="1:15" x14ac:dyDescent="0.25">
      <c r="A33" s="14" t="s">
        <v>94</v>
      </c>
      <c r="B33" s="3" t="s">
        <v>50</v>
      </c>
      <c r="C33" s="3" t="s">
        <v>107</v>
      </c>
      <c r="D33" s="3" t="s">
        <v>59</v>
      </c>
      <c r="E33" s="3" t="s">
        <v>6</v>
      </c>
      <c r="F33" s="47"/>
      <c r="G33" s="16">
        <v>5000</v>
      </c>
      <c r="H33" s="18"/>
      <c r="I33" s="44"/>
      <c r="J33" s="5"/>
      <c r="K33" s="5"/>
      <c r="L33" s="6"/>
      <c r="M33" s="3" t="s">
        <v>62</v>
      </c>
      <c r="N33" s="3"/>
    </row>
    <row r="34" spans="1:15" x14ac:dyDescent="0.25">
      <c r="A34" s="14" t="s">
        <v>95</v>
      </c>
      <c r="B34" s="3" t="s">
        <v>51</v>
      </c>
      <c r="C34" s="3" t="s">
        <v>107</v>
      </c>
      <c r="D34" s="3" t="s">
        <v>59</v>
      </c>
      <c r="E34" s="3" t="s">
        <v>6</v>
      </c>
      <c r="F34" s="47"/>
      <c r="G34" s="16">
        <v>5000</v>
      </c>
      <c r="H34" s="17"/>
      <c r="I34" s="44"/>
      <c r="J34" s="5"/>
      <c r="K34" s="5"/>
      <c r="L34" s="6"/>
      <c r="M34" s="3" t="s">
        <v>62</v>
      </c>
      <c r="N34" s="3"/>
    </row>
    <row r="35" spans="1:15" x14ac:dyDescent="0.25">
      <c r="A35" s="14" t="s">
        <v>96</v>
      </c>
      <c r="B35" s="3" t="s">
        <v>52</v>
      </c>
      <c r="C35" s="3" t="s">
        <v>107</v>
      </c>
      <c r="D35" s="3" t="s">
        <v>59</v>
      </c>
      <c r="E35" s="3" t="s">
        <v>6</v>
      </c>
      <c r="F35" s="47"/>
      <c r="G35" s="16">
        <v>6000</v>
      </c>
      <c r="H35" s="17"/>
      <c r="I35" s="44"/>
      <c r="J35" s="5"/>
      <c r="K35" s="5"/>
      <c r="L35" s="6"/>
      <c r="M35" s="3" t="s">
        <v>62</v>
      </c>
      <c r="N35" s="3"/>
    </row>
    <row r="36" spans="1:15" x14ac:dyDescent="0.25">
      <c r="A36" s="14" t="s">
        <v>97</v>
      </c>
      <c r="B36" s="3" t="s">
        <v>53</v>
      </c>
      <c r="C36" s="3" t="s">
        <v>107</v>
      </c>
      <c r="D36" s="3" t="s">
        <v>60</v>
      </c>
      <c r="E36" s="3" t="s">
        <v>6</v>
      </c>
      <c r="F36" s="47"/>
      <c r="G36" s="16">
        <v>5000</v>
      </c>
      <c r="H36" s="17"/>
      <c r="I36" s="44"/>
      <c r="J36" s="5"/>
      <c r="K36" s="5"/>
      <c r="L36" s="6"/>
      <c r="M36" s="3" t="s">
        <v>62</v>
      </c>
      <c r="N36" s="3"/>
    </row>
    <row r="37" spans="1:15" x14ac:dyDescent="0.25">
      <c r="A37" s="14" t="s">
        <v>98</v>
      </c>
      <c r="B37" s="3" t="s">
        <v>54</v>
      </c>
      <c r="C37" s="3" t="s">
        <v>107</v>
      </c>
      <c r="D37" s="3" t="s">
        <v>60</v>
      </c>
      <c r="E37" s="3" t="s">
        <v>6</v>
      </c>
      <c r="F37" s="47"/>
      <c r="G37" s="16">
        <v>5000</v>
      </c>
      <c r="H37" s="17"/>
      <c r="I37" s="44"/>
      <c r="J37" s="5"/>
      <c r="K37" s="5"/>
      <c r="L37" s="6"/>
      <c r="M37" s="3" t="s">
        <v>62</v>
      </c>
      <c r="N37" s="3"/>
    </row>
    <row r="38" spans="1:15" x14ac:dyDescent="0.25">
      <c r="A38" s="14" t="s">
        <v>99</v>
      </c>
      <c r="B38" s="3" t="s">
        <v>55</v>
      </c>
      <c r="C38" s="3" t="s">
        <v>107</v>
      </c>
      <c r="D38" s="3" t="s">
        <v>60</v>
      </c>
      <c r="E38" s="3" t="s">
        <v>6</v>
      </c>
      <c r="F38" s="47"/>
      <c r="G38" s="16">
        <v>5000</v>
      </c>
      <c r="H38" s="17"/>
      <c r="I38" s="44"/>
      <c r="J38" s="5"/>
      <c r="K38" s="5"/>
      <c r="L38" s="6"/>
      <c r="M38" s="3" t="s">
        <v>62</v>
      </c>
      <c r="N38" s="3"/>
    </row>
    <row r="39" spans="1:15" x14ac:dyDescent="0.25">
      <c r="A39" s="14" t="s">
        <v>100</v>
      </c>
      <c r="B39" s="3" t="s">
        <v>56</v>
      </c>
      <c r="C39" s="3" t="s">
        <v>107</v>
      </c>
      <c r="D39" s="3" t="s">
        <v>60</v>
      </c>
      <c r="E39" s="3" t="s">
        <v>6</v>
      </c>
      <c r="F39" s="47"/>
      <c r="G39" s="16">
        <v>5000</v>
      </c>
      <c r="H39" s="17"/>
      <c r="I39" s="44"/>
      <c r="J39" s="5"/>
      <c r="K39" s="5"/>
      <c r="L39" s="6"/>
      <c r="M39" s="3" t="s">
        <v>62</v>
      </c>
      <c r="N39" s="3"/>
    </row>
    <row r="40" spans="1:15" x14ac:dyDescent="0.25">
      <c r="A40" s="14" t="s">
        <v>101</v>
      </c>
      <c r="B40" s="3" t="s">
        <v>63</v>
      </c>
      <c r="C40" s="3" t="s">
        <v>107</v>
      </c>
      <c r="D40" s="3" t="s">
        <v>61</v>
      </c>
      <c r="E40" s="3" t="s">
        <v>6</v>
      </c>
      <c r="F40" s="47"/>
      <c r="G40" s="16">
        <v>5000</v>
      </c>
      <c r="H40" s="17"/>
      <c r="I40" s="44"/>
      <c r="J40" s="5"/>
      <c r="K40" s="5"/>
      <c r="L40" s="6"/>
      <c r="M40" s="3" t="s">
        <v>62</v>
      </c>
      <c r="N40" s="3"/>
    </row>
    <row r="41" spans="1:15" x14ac:dyDescent="0.25">
      <c r="A41" s="14" t="s">
        <v>102</v>
      </c>
      <c r="B41" s="3" t="s">
        <v>57</v>
      </c>
      <c r="C41" s="3" t="s">
        <v>107</v>
      </c>
      <c r="D41" s="3" t="s">
        <v>61</v>
      </c>
      <c r="E41" s="3" t="s">
        <v>6</v>
      </c>
      <c r="F41" s="47"/>
      <c r="G41" s="16">
        <v>5000</v>
      </c>
      <c r="H41" s="17"/>
      <c r="I41" s="44"/>
      <c r="J41" s="5"/>
      <c r="K41" s="5"/>
      <c r="L41" s="6"/>
      <c r="M41" s="3" t="s">
        <v>62</v>
      </c>
      <c r="N41" s="3"/>
    </row>
    <row r="42" spans="1:15" ht="14.25" thickBot="1" x14ac:dyDescent="0.3">
      <c r="A42" s="14" t="s">
        <v>103</v>
      </c>
      <c r="B42" s="19" t="s">
        <v>58</v>
      </c>
      <c r="C42" s="19" t="s">
        <v>107</v>
      </c>
      <c r="D42" s="19" t="s">
        <v>61</v>
      </c>
      <c r="E42" s="19" t="s">
        <v>6</v>
      </c>
      <c r="F42" s="48"/>
      <c r="G42" s="20">
        <v>5000</v>
      </c>
      <c r="H42" s="21"/>
      <c r="I42" s="45"/>
      <c r="J42" s="22"/>
      <c r="K42" s="22"/>
      <c r="L42" s="23"/>
      <c r="M42" s="19" t="s">
        <v>62</v>
      </c>
      <c r="N42" s="19"/>
    </row>
    <row r="43" spans="1:15" s="30" customFormat="1" ht="41.25" customHeight="1" thickBot="1" x14ac:dyDescent="0.3">
      <c r="A43" s="24"/>
      <c r="B43" s="25"/>
      <c r="C43" s="25"/>
      <c r="D43" s="25"/>
      <c r="E43" s="25"/>
      <c r="F43" s="49">
        <f t="shared" ref="F43:K43" si="0">SUM(F3:F42)</f>
        <v>27000</v>
      </c>
      <c r="G43" s="26">
        <f t="shared" si="0"/>
        <v>370500</v>
      </c>
      <c r="H43" s="26">
        <f t="shared" si="0"/>
        <v>19000</v>
      </c>
      <c r="I43" s="46">
        <f t="shared" si="0"/>
        <v>213000</v>
      </c>
      <c r="J43" s="26">
        <f t="shared" si="0"/>
        <v>1000</v>
      </c>
      <c r="K43" s="26">
        <f t="shared" si="0"/>
        <v>64000</v>
      </c>
      <c r="L43" s="27"/>
      <c r="M43" s="25"/>
      <c r="N43" s="28"/>
      <c r="O43" s="29"/>
    </row>
    <row r="44" spans="1:15" s="34" customFormat="1" x14ac:dyDescent="0.25">
      <c r="A44" s="31"/>
      <c r="B44" s="31"/>
      <c r="C44" s="31"/>
      <c r="D44" s="31"/>
      <c r="E44" s="31"/>
      <c r="F44" s="50"/>
      <c r="G44" s="32"/>
      <c r="H44" s="32"/>
      <c r="I44" s="33"/>
      <c r="J44" s="32"/>
      <c r="K44" s="32"/>
      <c r="L44" s="33"/>
      <c r="M44" s="31"/>
      <c r="N44" s="31"/>
    </row>
    <row r="45" spans="1:15" s="34" customFormat="1" x14ac:dyDescent="0.25">
      <c r="F45" s="51"/>
      <c r="G45" s="4"/>
      <c r="H45" s="4"/>
      <c r="I45" s="35"/>
      <c r="J45" s="4"/>
      <c r="K45" s="4"/>
      <c r="L45" s="35"/>
    </row>
    <row r="46" spans="1:15" s="34" customFormat="1" x14ac:dyDescent="0.25">
      <c r="F46" s="51"/>
      <c r="G46" s="4"/>
      <c r="H46" s="4"/>
      <c r="I46" s="35"/>
      <c r="J46" s="4"/>
      <c r="K46" s="4"/>
      <c r="L46" s="35"/>
    </row>
    <row r="47" spans="1:15" s="34" customFormat="1" x14ac:dyDescent="0.25">
      <c r="F47" s="51"/>
      <c r="G47" s="4"/>
      <c r="H47" s="4"/>
      <c r="I47" s="35"/>
      <c r="J47" s="4"/>
      <c r="K47" s="4"/>
      <c r="L47" s="35"/>
    </row>
    <row r="48" spans="1:15" s="34" customFormat="1" x14ac:dyDescent="0.25">
      <c r="F48" s="51"/>
      <c r="G48" s="4"/>
      <c r="H48" s="4"/>
      <c r="I48" s="35"/>
      <c r="J48" s="4"/>
      <c r="K48" s="4"/>
      <c r="L48" s="35"/>
    </row>
    <row r="49" spans="6:12" s="34" customFormat="1" x14ac:dyDescent="0.25">
      <c r="F49" s="51"/>
      <c r="G49" s="4"/>
      <c r="H49" s="4"/>
      <c r="I49" s="35"/>
      <c r="J49" s="4"/>
      <c r="K49" s="4"/>
      <c r="L49" s="35"/>
    </row>
    <row r="50" spans="6:12" s="34" customFormat="1" x14ac:dyDescent="0.25">
      <c r="F50" s="51"/>
      <c r="G50" s="4"/>
      <c r="H50" s="4"/>
      <c r="I50" s="35"/>
      <c r="J50" s="4"/>
      <c r="K50" s="4"/>
      <c r="L50" s="35"/>
    </row>
    <row r="51" spans="6:12" s="34" customFormat="1" x14ac:dyDescent="0.25">
      <c r="F51" s="51"/>
      <c r="G51" s="4"/>
      <c r="H51" s="4"/>
      <c r="I51" s="35"/>
      <c r="J51" s="4"/>
      <c r="K51" s="4"/>
      <c r="L51" s="35"/>
    </row>
    <row r="52" spans="6:12" s="34" customFormat="1" x14ac:dyDescent="0.25">
      <c r="F52" s="51"/>
      <c r="G52" s="4"/>
      <c r="H52" s="4"/>
      <c r="I52" s="35"/>
      <c r="J52" s="4"/>
      <c r="K52" s="4"/>
      <c r="L52" s="35"/>
    </row>
    <row r="53" spans="6:12" s="34" customFormat="1" x14ac:dyDescent="0.25">
      <c r="F53" s="51"/>
      <c r="G53" s="4"/>
      <c r="H53" s="4"/>
      <c r="I53" s="35"/>
      <c r="J53" s="4"/>
      <c r="K53" s="4"/>
      <c r="L53" s="35"/>
    </row>
    <row r="54" spans="6:12" s="34" customFormat="1" x14ac:dyDescent="0.25">
      <c r="F54" s="51"/>
      <c r="G54" s="4"/>
      <c r="H54" s="4"/>
      <c r="I54" s="35"/>
      <c r="J54" s="4"/>
      <c r="K54" s="4"/>
      <c r="L54" s="35"/>
    </row>
    <row r="55" spans="6:12" s="34" customFormat="1" x14ac:dyDescent="0.25">
      <c r="F55" s="51"/>
      <c r="G55" s="4"/>
      <c r="H55" s="4"/>
      <c r="I55" s="35"/>
      <c r="J55" s="4"/>
      <c r="K55" s="4"/>
      <c r="L55" s="35"/>
    </row>
    <row r="56" spans="6:12" s="34" customFormat="1" x14ac:dyDescent="0.25">
      <c r="F56" s="51"/>
      <c r="G56" s="4"/>
      <c r="H56" s="4"/>
      <c r="I56" s="35"/>
      <c r="J56" s="4"/>
      <c r="K56" s="4"/>
      <c r="L56" s="35"/>
    </row>
    <row r="57" spans="6:12" s="34" customFormat="1" x14ac:dyDescent="0.25">
      <c r="F57" s="51"/>
      <c r="G57" s="4"/>
      <c r="H57" s="4"/>
      <c r="I57" s="35"/>
      <c r="J57" s="4"/>
      <c r="K57" s="4"/>
      <c r="L57" s="35"/>
    </row>
    <row r="58" spans="6:12" s="34" customFormat="1" x14ac:dyDescent="0.25">
      <c r="F58" s="51"/>
      <c r="G58" s="4"/>
      <c r="H58" s="4"/>
      <c r="I58" s="35"/>
      <c r="J58" s="4"/>
      <c r="K58" s="4"/>
      <c r="L58" s="35"/>
    </row>
    <row r="59" spans="6:12" s="34" customFormat="1" x14ac:dyDescent="0.25">
      <c r="F59" s="51"/>
      <c r="G59" s="4"/>
      <c r="H59" s="4"/>
      <c r="I59" s="35"/>
      <c r="J59" s="4"/>
      <c r="K59" s="4"/>
      <c r="L59" s="35"/>
    </row>
    <row r="60" spans="6:12" s="34" customFormat="1" x14ac:dyDescent="0.25">
      <c r="F60" s="51"/>
      <c r="G60" s="4"/>
      <c r="H60" s="4"/>
      <c r="I60" s="35"/>
      <c r="J60" s="4"/>
      <c r="K60" s="4"/>
      <c r="L60" s="35"/>
    </row>
    <row r="61" spans="6:12" s="34" customFormat="1" x14ac:dyDescent="0.25">
      <c r="F61" s="51"/>
      <c r="G61" s="4"/>
      <c r="H61" s="4"/>
      <c r="I61" s="35"/>
      <c r="J61" s="4"/>
      <c r="K61" s="4"/>
      <c r="L61" s="35"/>
    </row>
    <row r="62" spans="6:12" s="34" customFormat="1" x14ac:dyDescent="0.25">
      <c r="F62" s="51"/>
      <c r="G62" s="4"/>
      <c r="H62" s="4"/>
      <c r="I62" s="35"/>
      <c r="J62" s="4"/>
      <c r="K62" s="4"/>
      <c r="L62" s="35"/>
    </row>
    <row r="63" spans="6:12" s="34" customFormat="1" x14ac:dyDescent="0.25">
      <c r="F63" s="51"/>
      <c r="G63" s="4"/>
      <c r="H63" s="4"/>
      <c r="I63" s="35"/>
      <c r="J63" s="4"/>
      <c r="K63" s="4"/>
      <c r="L63" s="35"/>
    </row>
    <row r="64" spans="6:12" s="34" customFormat="1" x14ac:dyDescent="0.25">
      <c r="F64" s="51"/>
      <c r="G64" s="4"/>
      <c r="H64" s="4"/>
      <c r="I64" s="35"/>
      <c r="J64" s="4"/>
      <c r="K64" s="4"/>
      <c r="L64" s="35"/>
    </row>
    <row r="65" spans="6:12" s="34" customFormat="1" x14ac:dyDescent="0.25">
      <c r="F65" s="51"/>
      <c r="G65" s="4"/>
      <c r="H65" s="4"/>
      <c r="I65" s="35"/>
      <c r="J65" s="4"/>
      <c r="K65" s="4"/>
      <c r="L65" s="35"/>
    </row>
    <row r="66" spans="6:12" s="34" customFormat="1" x14ac:dyDescent="0.25">
      <c r="F66" s="51"/>
      <c r="G66" s="4"/>
      <c r="H66" s="4"/>
      <c r="I66" s="35"/>
      <c r="J66" s="4"/>
      <c r="K66" s="4"/>
      <c r="L66" s="35"/>
    </row>
    <row r="67" spans="6:12" s="34" customFormat="1" x14ac:dyDescent="0.25">
      <c r="F67" s="51"/>
      <c r="G67" s="4"/>
      <c r="H67" s="4"/>
      <c r="I67" s="35"/>
      <c r="J67" s="4"/>
      <c r="K67" s="4"/>
      <c r="L67" s="35"/>
    </row>
    <row r="68" spans="6:12" s="34" customFormat="1" x14ac:dyDescent="0.25">
      <c r="F68" s="51"/>
      <c r="G68" s="4"/>
      <c r="H68" s="4"/>
      <c r="I68" s="35"/>
      <c r="J68" s="4"/>
      <c r="K68" s="4"/>
      <c r="L68" s="35"/>
    </row>
    <row r="69" spans="6:12" s="34" customFormat="1" x14ac:dyDescent="0.25">
      <c r="F69" s="51"/>
      <c r="G69" s="4"/>
      <c r="H69" s="4"/>
      <c r="I69" s="35"/>
      <c r="J69" s="4"/>
      <c r="K69" s="4"/>
      <c r="L69" s="35"/>
    </row>
    <row r="70" spans="6:12" s="36" customFormat="1" x14ac:dyDescent="0.25">
      <c r="F70" s="52"/>
      <c r="G70" s="37"/>
      <c r="H70" s="37"/>
      <c r="I70" s="38"/>
      <c r="J70" s="37"/>
      <c r="K70" s="37"/>
      <c r="L70" s="38"/>
    </row>
    <row r="71" spans="6:12" s="36" customFormat="1" x14ac:dyDescent="0.25">
      <c r="F71" s="52"/>
      <c r="G71" s="37"/>
      <c r="H71" s="37"/>
      <c r="I71" s="38"/>
      <c r="J71" s="37"/>
      <c r="K71" s="37"/>
      <c r="L71" s="38"/>
    </row>
    <row r="72" spans="6:12" s="36" customFormat="1" x14ac:dyDescent="0.25">
      <c r="F72" s="52"/>
      <c r="G72" s="37"/>
      <c r="H72" s="37"/>
      <c r="I72" s="38"/>
      <c r="J72" s="37"/>
      <c r="K72" s="37"/>
      <c r="L72" s="38"/>
    </row>
    <row r="73" spans="6:12" s="36" customFormat="1" x14ac:dyDescent="0.25">
      <c r="F73" s="52"/>
      <c r="G73" s="37"/>
      <c r="H73" s="37"/>
      <c r="I73" s="38"/>
      <c r="J73" s="37"/>
      <c r="K73" s="37"/>
      <c r="L73" s="38"/>
    </row>
    <row r="74" spans="6:12" s="36" customFormat="1" x14ac:dyDescent="0.25">
      <c r="F74" s="52"/>
      <c r="G74" s="37"/>
      <c r="H74" s="37"/>
      <c r="I74" s="38"/>
      <c r="J74" s="37"/>
      <c r="K74" s="37"/>
      <c r="L74" s="38"/>
    </row>
    <row r="75" spans="6:12" s="36" customFormat="1" x14ac:dyDescent="0.25">
      <c r="F75" s="52"/>
      <c r="G75" s="37"/>
      <c r="H75" s="37"/>
      <c r="I75" s="38"/>
      <c r="J75" s="37"/>
      <c r="K75" s="37"/>
      <c r="L75" s="38"/>
    </row>
    <row r="76" spans="6:12" s="36" customFormat="1" x14ac:dyDescent="0.25">
      <c r="F76" s="52"/>
      <c r="G76" s="37"/>
      <c r="H76" s="37"/>
      <c r="I76" s="38"/>
      <c r="J76" s="37"/>
      <c r="K76" s="37"/>
      <c r="L76" s="38"/>
    </row>
    <row r="77" spans="6:12" s="36" customFormat="1" x14ac:dyDescent="0.25">
      <c r="F77" s="52"/>
      <c r="G77" s="37"/>
      <c r="H77" s="37"/>
      <c r="I77" s="38"/>
      <c r="J77" s="37"/>
      <c r="K77" s="37"/>
      <c r="L77" s="38"/>
    </row>
    <row r="78" spans="6:12" s="36" customFormat="1" x14ac:dyDescent="0.25">
      <c r="F78" s="52"/>
      <c r="G78" s="37"/>
      <c r="H78" s="37"/>
      <c r="I78" s="38"/>
      <c r="J78" s="37"/>
      <c r="K78" s="37"/>
      <c r="L78" s="38"/>
    </row>
    <row r="79" spans="6:12" s="36" customFormat="1" x14ac:dyDescent="0.25">
      <c r="F79" s="52"/>
      <c r="G79" s="37"/>
      <c r="H79" s="37"/>
      <c r="I79" s="38"/>
      <c r="J79" s="37"/>
      <c r="K79" s="37"/>
      <c r="L79" s="38"/>
    </row>
    <row r="80" spans="6:12" s="36" customFormat="1" x14ac:dyDescent="0.25">
      <c r="F80" s="52"/>
      <c r="G80" s="37"/>
      <c r="H80" s="37"/>
      <c r="I80" s="38"/>
      <c r="J80" s="37"/>
      <c r="K80" s="37"/>
      <c r="L80" s="38"/>
    </row>
    <row r="81" spans="6:12" s="36" customFormat="1" x14ac:dyDescent="0.25">
      <c r="F81" s="52"/>
      <c r="G81" s="37"/>
      <c r="H81" s="37"/>
      <c r="I81" s="38"/>
      <c r="J81" s="37"/>
      <c r="K81" s="37"/>
      <c r="L81" s="38"/>
    </row>
    <row r="82" spans="6:12" s="36" customFormat="1" x14ac:dyDescent="0.25">
      <c r="F82" s="52"/>
      <c r="G82" s="37"/>
      <c r="H82" s="37"/>
      <c r="I82" s="38"/>
      <c r="J82" s="37"/>
      <c r="K82" s="37"/>
      <c r="L82" s="38"/>
    </row>
    <row r="83" spans="6:12" s="36" customFormat="1" x14ac:dyDescent="0.25">
      <c r="F83" s="52"/>
      <c r="G83" s="37"/>
      <c r="H83" s="37"/>
      <c r="I83" s="38"/>
      <c r="J83" s="37"/>
      <c r="K83" s="37"/>
      <c r="L83" s="38"/>
    </row>
    <row r="84" spans="6:12" s="36" customFormat="1" x14ac:dyDescent="0.25">
      <c r="F84" s="52"/>
      <c r="G84" s="37"/>
      <c r="H84" s="37"/>
      <c r="I84" s="38"/>
      <c r="J84" s="37"/>
      <c r="K84" s="37"/>
      <c r="L84" s="38"/>
    </row>
    <row r="85" spans="6:12" s="36" customFormat="1" x14ac:dyDescent="0.25">
      <c r="F85" s="52"/>
      <c r="G85" s="37"/>
      <c r="H85" s="37"/>
      <c r="I85" s="38"/>
      <c r="J85" s="37"/>
      <c r="K85" s="37"/>
      <c r="L85" s="38"/>
    </row>
    <row r="86" spans="6:12" s="36" customFormat="1" x14ac:dyDescent="0.25">
      <c r="F86" s="52"/>
      <c r="G86" s="37"/>
      <c r="H86" s="37"/>
      <c r="I86" s="38"/>
      <c r="J86" s="37"/>
      <c r="K86" s="37"/>
      <c r="L86" s="38"/>
    </row>
    <row r="87" spans="6:12" s="36" customFormat="1" x14ac:dyDescent="0.25">
      <c r="F87" s="52"/>
      <c r="G87" s="37"/>
      <c r="H87" s="37"/>
      <c r="I87" s="38"/>
      <c r="J87" s="37"/>
      <c r="K87" s="37"/>
      <c r="L87" s="38"/>
    </row>
    <row r="88" spans="6:12" s="36" customFormat="1" x14ac:dyDescent="0.25">
      <c r="F88" s="52"/>
      <c r="G88" s="37"/>
      <c r="H88" s="37"/>
      <c r="I88" s="38"/>
      <c r="J88" s="37"/>
      <c r="K88" s="37"/>
      <c r="L88" s="38"/>
    </row>
    <row r="89" spans="6:12" s="36" customFormat="1" x14ac:dyDescent="0.25">
      <c r="F89" s="52"/>
      <c r="G89" s="37"/>
      <c r="H89" s="37"/>
      <c r="I89" s="38"/>
      <c r="J89" s="37"/>
      <c r="K89" s="37"/>
      <c r="L89" s="38"/>
    </row>
    <row r="90" spans="6:12" s="36" customFormat="1" x14ac:dyDescent="0.25">
      <c r="F90" s="52"/>
      <c r="G90" s="37"/>
      <c r="H90" s="37"/>
      <c r="I90" s="38"/>
      <c r="J90" s="37"/>
      <c r="K90" s="37"/>
      <c r="L90" s="38"/>
    </row>
    <row r="91" spans="6:12" s="36" customFormat="1" x14ac:dyDescent="0.25">
      <c r="F91" s="52"/>
      <c r="G91" s="37"/>
      <c r="H91" s="37"/>
      <c r="I91" s="38"/>
      <c r="J91" s="37"/>
      <c r="K91" s="37"/>
      <c r="L91" s="38"/>
    </row>
    <row r="92" spans="6:12" s="36" customFormat="1" x14ac:dyDescent="0.25">
      <c r="F92" s="52"/>
      <c r="G92" s="37"/>
      <c r="H92" s="37"/>
      <c r="I92" s="38"/>
      <c r="J92" s="37"/>
      <c r="K92" s="37"/>
      <c r="L92" s="38"/>
    </row>
    <row r="93" spans="6:12" s="36" customFormat="1" x14ac:dyDescent="0.25">
      <c r="F93" s="52"/>
      <c r="G93" s="37"/>
      <c r="H93" s="37"/>
      <c r="I93" s="38"/>
      <c r="J93" s="37"/>
      <c r="K93" s="37"/>
      <c r="L93" s="38"/>
    </row>
    <row r="94" spans="6:12" s="36" customFormat="1" x14ac:dyDescent="0.25">
      <c r="F94" s="52"/>
      <c r="G94" s="37"/>
      <c r="H94" s="37"/>
      <c r="I94" s="38"/>
      <c r="J94" s="37"/>
      <c r="K94" s="37"/>
      <c r="L94" s="38"/>
    </row>
    <row r="95" spans="6:12" s="36" customFormat="1" x14ac:dyDescent="0.25">
      <c r="F95" s="52"/>
      <c r="G95" s="37"/>
      <c r="H95" s="37"/>
      <c r="I95" s="38"/>
      <c r="J95" s="37"/>
      <c r="K95" s="37"/>
      <c r="L95" s="38"/>
    </row>
    <row r="96" spans="6:12" s="36" customFormat="1" x14ac:dyDescent="0.25">
      <c r="F96" s="52"/>
      <c r="G96" s="37"/>
      <c r="H96" s="37"/>
      <c r="I96" s="38"/>
      <c r="J96" s="37"/>
      <c r="K96" s="37"/>
      <c r="L96" s="38"/>
    </row>
    <row r="97" spans="6:12" s="36" customFormat="1" x14ac:dyDescent="0.25">
      <c r="F97" s="52"/>
      <c r="G97" s="37"/>
      <c r="H97" s="37"/>
      <c r="I97" s="38"/>
      <c r="J97" s="37"/>
      <c r="K97" s="37"/>
      <c r="L97" s="38"/>
    </row>
    <row r="98" spans="6:12" s="36" customFormat="1" x14ac:dyDescent="0.25">
      <c r="F98" s="52"/>
      <c r="G98" s="37"/>
      <c r="H98" s="37"/>
      <c r="I98" s="38"/>
      <c r="J98" s="37"/>
      <c r="K98" s="37"/>
      <c r="L98" s="38"/>
    </row>
    <row r="99" spans="6:12" s="36" customFormat="1" x14ac:dyDescent="0.25">
      <c r="F99" s="52"/>
      <c r="G99" s="37"/>
      <c r="H99" s="37"/>
      <c r="I99" s="38"/>
      <c r="J99" s="37"/>
      <c r="K99" s="37"/>
      <c r="L99" s="38"/>
    </row>
    <row r="100" spans="6:12" s="36" customFormat="1" x14ac:dyDescent="0.25">
      <c r="F100" s="52"/>
      <c r="G100" s="37"/>
      <c r="H100" s="37"/>
      <c r="I100" s="38"/>
      <c r="J100" s="37"/>
      <c r="K100" s="37"/>
      <c r="L100" s="38"/>
    </row>
    <row r="101" spans="6:12" s="36" customFormat="1" x14ac:dyDescent="0.25">
      <c r="F101" s="52"/>
      <c r="G101" s="37"/>
      <c r="H101" s="37"/>
      <c r="I101" s="38"/>
      <c r="J101" s="37"/>
      <c r="K101" s="37"/>
      <c r="L101" s="38"/>
    </row>
    <row r="102" spans="6:12" s="36" customFormat="1" x14ac:dyDescent="0.25">
      <c r="F102" s="52"/>
      <c r="G102" s="37"/>
      <c r="H102" s="37"/>
      <c r="I102" s="38"/>
      <c r="J102" s="37"/>
      <c r="K102" s="37"/>
      <c r="L102" s="38"/>
    </row>
    <row r="103" spans="6:12" s="36" customFormat="1" x14ac:dyDescent="0.25">
      <c r="F103" s="52"/>
      <c r="G103" s="37"/>
      <c r="H103" s="37"/>
      <c r="I103" s="38"/>
      <c r="J103" s="37"/>
      <c r="K103" s="37"/>
      <c r="L103" s="38"/>
    </row>
    <row r="104" spans="6:12" s="36" customFormat="1" x14ac:dyDescent="0.25">
      <c r="F104" s="52"/>
      <c r="G104" s="37"/>
      <c r="H104" s="37"/>
      <c r="I104" s="38"/>
      <c r="J104" s="37"/>
      <c r="K104" s="37"/>
      <c r="L104" s="38"/>
    </row>
    <row r="105" spans="6:12" s="36" customFormat="1" x14ac:dyDescent="0.25">
      <c r="F105" s="52"/>
      <c r="G105" s="37"/>
      <c r="H105" s="37"/>
      <c r="I105" s="38"/>
      <c r="J105" s="37"/>
      <c r="K105" s="37"/>
      <c r="L105" s="38"/>
    </row>
    <row r="106" spans="6:12" s="36" customFormat="1" x14ac:dyDescent="0.25">
      <c r="F106" s="52"/>
      <c r="G106" s="37"/>
      <c r="H106" s="37"/>
      <c r="I106" s="38"/>
      <c r="J106" s="37"/>
      <c r="K106" s="37"/>
      <c r="L106" s="38"/>
    </row>
    <row r="107" spans="6:12" s="36" customFormat="1" x14ac:dyDescent="0.25">
      <c r="F107" s="52"/>
      <c r="G107" s="37"/>
      <c r="H107" s="37"/>
      <c r="I107" s="38"/>
      <c r="J107" s="37"/>
      <c r="K107" s="37"/>
      <c r="L107" s="38"/>
    </row>
    <row r="108" spans="6:12" s="36" customFormat="1" x14ac:dyDescent="0.25">
      <c r="F108" s="52"/>
      <c r="G108" s="37"/>
      <c r="H108" s="37"/>
      <c r="I108" s="38"/>
      <c r="J108" s="37"/>
      <c r="K108" s="37"/>
      <c r="L108" s="38"/>
    </row>
    <row r="109" spans="6:12" s="36" customFormat="1" x14ac:dyDescent="0.25">
      <c r="F109" s="52"/>
      <c r="G109" s="37"/>
      <c r="H109" s="37"/>
      <c r="I109" s="38"/>
      <c r="J109" s="37"/>
      <c r="K109" s="37"/>
      <c r="L109" s="38"/>
    </row>
    <row r="110" spans="6:12" s="36" customFormat="1" x14ac:dyDescent="0.25">
      <c r="F110" s="52"/>
      <c r="G110" s="37"/>
      <c r="H110" s="37"/>
      <c r="I110" s="38"/>
      <c r="J110" s="37"/>
      <c r="K110" s="37"/>
      <c r="L110" s="38"/>
    </row>
    <row r="111" spans="6:12" s="36" customFormat="1" x14ac:dyDescent="0.25">
      <c r="F111" s="52"/>
      <c r="G111" s="37"/>
      <c r="H111" s="37"/>
      <c r="I111" s="38"/>
      <c r="J111" s="37"/>
      <c r="K111" s="37"/>
      <c r="L111" s="38"/>
    </row>
    <row r="112" spans="6:12" s="36" customFormat="1" x14ac:dyDescent="0.25">
      <c r="F112" s="52"/>
      <c r="G112" s="37"/>
      <c r="H112" s="37"/>
      <c r="I112" s="38"/>
      <c r="J112" s="37"/>
      <c r="K112" s="37"/>
      <c r="L112" s="38"/>
    </row>
    <row r="113" spans="6:12" s="36" customFormat="1" x14ac:dyDescent="0.25">
      <c r="F113" s="52"/>
      <c r="G113" s="37"/>
      <c r="H113" s="37"/>
      <c r="I113" s="38"/>
      <c r="J113" s="37"/>
      <c r="K113" s="37"/>
      <c r="L113" s="38"/>
    </row>
    <row r="114" spans="6:12" s="36" customFormat="1" x14ac:dyDescent="0.25">
      <c r="F114" s="52"/>
      <c r="G114" s="37"/>
      <c r="H114" s="37"/>
      <c r="I114" s="38"/>
      <c r="J114" s="37"/>
      <c r="K114" s="37"/>
      <c r="L114" s="38"/>
    </row>
    <row r="115" spans="6:12" s="36" customFormat="1" x14ac:dyDescent="0.25">
      <c r="F115" s="52"/>
      <c r="G115" s="37"/>
      <c r="H115" s="37"/>
      <c r="I115" s="38"/>
      <c r="J115" s="37"/>
      <c r="K115" s="37"/>
      <c r="L115" s="38"/>
    </row>
    <row r="116" spans="6:12" s="36" customFormat="1" x14ac:dyDescent="0.25">
      <c r="F116" s="52"/>
      <c r="G116" s="37"/>
      <c r="H116" s="37"/>
      <c r="I116" s="38"/>
      <c r="J116" s="37"/>
      <c r="K116" s="37"/>
      <c r="L116" s="38"/>
    </row>
    <row r="117" spans="6:12" s="36" customFormat="1" x14ac:dyDescent="0.25">
      <c r="F117" s="52"/>
      <c r="G117" s="37"/>
      <c r="H117" s="37"/>
      <c r="I117" s="38"/>
      <c r="J117" s="37"/>
      <c r="K117" s="37"/>
      <c r="L117" s="38"/>
    </row>
    <row r="118" spans="6:12" s="36" customFormat="1" x14ac:dyDescent="0.25">
      <c r="F118" s="52"/>
      <c r="G118" s="37"/>
      <c r="H118" s="37"/>
      <c r="I118" s="38"/>
      <c r="J118" s="37"/>
      <c r="K118" s="37"/>
      <c r="L118" s="38"/>
    </row>
    <row r="119" spans="6:12" s="36" customFormat="1" x14ac:dyDescent="0.25">
      <c r="F119" s="52"/>
      <c r="G119" s="37"/>
      <c r="H119" s="37"/>
      <c r="I119" s="38"/>
      <c r="J119" s="37"/>
      <c r="K119" s="37"/>
      <c r="L119" s="38"/>
    </row>
    <row r="120" spans="6:12" s="36" customFormat="1" x14ac:dyDescent="0.25">
      <c r="F120" s="52"/>
      <c r="G120" s="37"/>
      <c r="H120" s="37"/>
      <c r="I120" s="38"/>
      <c r="J120" s="37"/>
      <c r="K120" s="37"/>
      <c r="L120" s="38"/>
    </row>
    <row r="121" spans="6:12" s="36" customFormat="1" x14ac:dyDescent="0.25">
      <c r="F121" s="52"/>
      <c r="G121" s="37"/>
      <c r="H121" s="37"/>
      <c r="I121" s="38"/>
      <c r="J121" s="37"/>
      <c r="K121" s="37"/>
      <c r="L121" s="38"/>
    </row>
    <row r="122" spans="6:12" s="36" customFormat="1" x14ac:dyDescent="0.25">
      <c r="F122" s="52"/>
      <c r="G122" s="37"/>
      <c r="H122" s="37"/>
      <c r="I122" s="38"/>
      <c r="J122" s="37"/>
      <c r="K122" s="37"/>
      <c r="L122" s="38"/>
    </row>
    <row r="123" spans="6:12" s="36" customFormat="1" x14ac:dyDescent="0.25">
      <c r="F123" s="52"/>
      <c r="G123" s="37"/>
      <c r="H123" s="37"/>
      <c r="I123" s="38"/>
      <c r="J123" s="37"/>
      <c r="K123" s="37"/>
      <c r="L123" s="38"/>
    </row>
    <row r="124" spans="6:12" s="36" customFormat="1" x14ac:dyDescent="0.25">
      <c r="F124" s="52"/>
      <c r="G124" s="37"/>
      <c r="H124" s="37"/>
      <c r="I124" s="38"/>
      <c r="J124" s="37"/>
      <c r="K124" s="37"/>
      <c r="L124" s="38"/>
    </row>
    <row r="125" spans="6:12" s="36" customFormat="1" x14ac:dyDescent="0.25">
      <c r="F125" s="52"/>
      <c r="G125" s="37"/>
      <c r="H125" s="37"/>
      <c r="I125" s="38"/>
      <c r="J125" s="37"/>
      <c r="K125" s="37"/>
      <c r="L125" s="38"/>
    </row>
    <row r="126" spans="6:12" s="36" customFormat="1" x14ac:dyDescent="0.25">
      <c r="F126" s="52"/>
      <c r="G126" s="37"/>
      <c r="H126" s="37"/>
      <c r="I126" s="38"/>
      <c r="J126" s="37"/>
      <c r="K126" s="37"/>
      <c r="L126" s="38"/>
    </row>
    <row r="127" spans="6:12" s="36" customFormat="1" x14ac:dyDescent="0.25">
      <c r="F127" s="52"/>
      <c r="G127" s="37"/>
      <c r="H127" s="37"/>
      <c r="I127" s="38"/>
      <c r="J127" s="37"/>
      <c r="K127" s="37"/>
      <c r="L127" s="38"/>
    </row>
    <row r="128" spans="6:12" s="36" customFormat="1" x14ac:dyDescent="0.25">
      <c r="F128" s="52"/>
      <c r="G128" s="37"/>
      <c r="H128" s="37"/>
      <c r="I128" s="38"/>
      <c r="J128" s="37"/>
      <c r="K128" s="37"/>
      <c r="L128" s="38"/>
    </row>
    <row r="129" spans="6:12" s="36" customFormat="1" x14ac:dyDescent="0.25">
      <c r="F129" s="52"/>
      <c r="G129" s="37"/>
      <c r="H129" s="37"/>
      <c r="I129" s="38"/>
      <c r="J129" s="37"/>
      <c r="K129" s="37"/>
      <c r="L129" s="38"/>
    </row>
    <row r="130" spans="6:12" s="36" customFormat="1" x14ac:dyDescent="0.25">
      <c r="F130" s="52"/>
      <c r="G130" s="37"/>
      <c r="H130" s="37"/>
      <c r="I130" s="38"/>
      <c r="J130" s="37"/>
      <c r="K130" s="37"/>
      <c r="L130" s="38"/>
    </row>
    <row r="131" spans="6:12" s="36" customFormat="1" x14ac:dyDescent="0.25">
      <c r="F131" s="52"/>
      <c r="G131" s="37"/>
      <c r="H131" s="37"/>
      <c r="I131" s="38"/>
      <c r="J131" s="37"/>
      <c r="K131" s="37"/>
      <c r="L131" s="38"/>
    </row>
    <row r="132" spans="6:12" s="36" customFormat="1" x14ac:dyDescent="0.25">
      <c r="F132" s="52"/>
      <c r="G132" s="37"/>
      <c r="H132" s="37"/>
      <c r="I132" s="38"/>
      <c r="J132" s="37"/>
      <c r="K132" s="37"/>
      <c r="L132" s="38"/>
    </row>
    <row r="133" spans="6:12" s="36" customFormat="1" x14ac:dyDescent="0.25">
      <c r="F133" s="52"/>
      <c r="G133" s="37"/>
      <c r="H133" s="37"/>
      <c r="I133" s="38"/>
      <c r="J133" s="37"/>
      <c r="K133" s="37"/>
      <c r="L133" s="38"/>
    </row>
    <row r="134" spans="6:12" s="36" customFormat="1" x14ac:dyDescent="0.25">
      <c r="F134" s="52"/>
      <c r="G134" s="37"/>
      <c r="H134" s="37"/>
      <c r="I134" s="38"/>
      <c r="J134" s="37"/>
      <c r="K134" s="37"/>
      <c r="L134" s="38"/>
    </row>
    <row r="135" spans="6:12" s="36" customFormat="1" x14ac:dyDescent="0.25">
      <c r="F135" s="52"/>
      <c r="G135" s="37"/>
      <c r="H135" s="37"/>
      <c r="I135" s="38"/>
      <c r="J135" s="37"/>
      <c r="K135" s="37"/>
      <c r="L135" s="38"/>
    </row>
    <row r="136" spans="6:12" s="36" customFormat="1" x14ac:dyDescent="0.25">
      <c r="F136" s="52"/>
      <c r="G136" s="37"/>
      <c r="H136" s="37"/>
      <c r="I136" s="38"/>
      <c r="J136" s="37"/>
      <c r="K136" s="37"/>
      <c r="L136" s="38"/>
    </row>
    <row r="137" spans="6:12" s="36" customFormat="1" x14ac:dyDescent="0.25">
      <c r="F137" s="52"/>
      <c r="G137" s="37"/>
      <c r="H137" s="37"/>
      <c r="I137" s="38"/>
      <c r="J137" s="37"/>
      <c r="K137" s="37"/>
      <c r="L137" s="38"/>
    </row>
    <row r="138" spans="6:12" s="36" customFormat="1" x14ac:dyDescent="0.25">
      <c r="F138" s="52"/>
      <c r="G138" s="37"/>
      <c r="H138" s="37"/>
      <c r="I138" s="38"/>
      <c r="J138" s="37"/>
      <c r="K138" s="37"/>
      <c r="L138" s="38"/>
    </row>
    <row r="139" spans="6:12" s="36" customFormat="1" x14ac:dyDescent="0.25">
      <c r="F139" s="52"/>
      <c r="G139" s="37"/>
      <c r="H139" s="37"/>
      <c r="I139" s="38"/>
      <c r="J139" s="37"/>
      <c r="K139" s="37"/>
      <c r="L139" s="38"/>
    </row>
    <row r="140" spans="6:12" s="36" customFormat="1" x14ac:dyDescent="0.25">
      <c r="F140" s="52"/>
      <c r="G140" s="37"/>
      <c r="H140" s="37"/>
      <c r="I140" s="38"/>
      <c r="J140" s="37"/>
      <c r="K140" s="37"/>
      <c r="L140" s="38"/>
    </row>
    <row r="141" spans="6:12" s="36" customFormat="1" x14ac:dyDescent="0.25">
      <c r="F141" s="52"/>
      <c r="G141" s="37"/>
      <c r="H141" s="37"/>
      <c r="I141" s="38"/>
      <c r="J141" s="37"/>
      <c r="K141" s="37"/>
      <c r="L141" s="38"/>
    </row>
    <row r="142" spans="6:12" s="36" customFormat="1" x14ac:dyDescent="0.25">
      <c r="F142" s="52"/>
      <c r="G142" s="37"/>
      <c r="H142" s="37"/>
      <c r="I142" s="38"/>
      <c r="J142" s="37"/>
      <c r="K142" s="37"/>
      <c r="L142" s="38"/>
    </row>
    <row r="143" spans="6:12" s="36" customFormat="1" x14ac:dyDescent="0.25">
      <c r="F143" s="52"/>
      <c r="G143" s="37"/>
      <c r="H143" s="37"/>
      <c r="I143" s="38"/>
      <c r="J143" s="37"/>
      <c r="K143" s="37"/>
      <c r="L143" s="38"/>
    </row>
    <row r="144" spans="6:12" s="36" customFormat="1" x14ac:dyDescent="0.25">
      <c r="F144" s="52"/>
      <c r="G144" s="37"/>
      <c r="H144" s="37"/>
      <c r="I144" s="38"/>
      <c r="J144" s="37"/>
      <c r="K144" s="37"/>
      <c r="L144" s="38"/>
    </row>
    <row r="145" spans="6:12" s="36" customFormat="1" x14ac:dyDescent="0.25">
      <c r="F145" s="52"/>
      <c r="G145" s="37"/>
      <c r="H145" s="37"/>
      <c r="I145" s="38"/>
      <c r="J145" s="37"/>
      <c r="K145" s="37"/>
      <c r="L145" s="38"/>
    </row>
    <row r="146" spans="6:12" s="36" customFormat="1" x14ac:dyDescent="0.25">
      <c r="F146" s="52"/>
      <c r="G146" s="37"/>
      <c r="H146" s="37"/>
      <c r="I146" s="38"/>
      <c r="J146" s="37"/>
      <c r="K146" s="37"/>
      <c r="L146" s="38"/>
    </row>
    <row r="147" spans="6:12" s="36" customFormat="1" x14ac:dyDescent="0.25">
      <c r="F147" s="52"/>
      <c r="G147" s="37"/>
      <c r="H147" s="37"/>
      <c r="I147" s="38"/>
      <c r="J147" s="37"/>
      <c r="K147" s="37"/>
      <c r="L147" s="38"/>
    </row>
    <row r="148" spans="6:12" s="36" customFormat="1" x14ac:dyDescent="0.25">
      <c r="F148" s="52"/>
      <c r="G148" s="37"/>
      <c r="H148" s="37"/>
      <c r="I148" s="38"/>
      <c r="J148" s="37"/>
      <c r="K148" s="37"/>
      <c r="L148" s="38"/>
    </row>
    <row r="149" spans="6:12" s="36" customFormat="1" x14ac:dyDescent="0.25">
      <c r="F149" s="52"/>
      <c r="G149" s="37"/>
      <c r="H149" s="37"/>
      <c r="I149" s="38"/>
      <c r="J149" s="37"/>
      <c r="K149" s="37"/>
      <c r="L149" s="38"/>
    </row>
    <row r="150" spans="6:12" s="36" customFormat="1" x14ac:dyDescent="0.25">
      <c r="F150" s="52"/>
      <c r="G150" s="37"/>
      <c r="H150" s="37"/>
      <c r="I150" s="38"/>
      <c r="J150" s="37"/>
      <c r="K150" s="37"/>
      <c r="L150" s="38"/>
    </row>
    <row r="151" spans="6:12" s="36" customFormat="1" x14ac:dyDescent="0.25">
      <c r="F151" s="52"/>
      <c r="G151" s="37"/>
      <c r="H151" s="37"/>
      <c r="I151" s="38"/>
      <c r="J151" s="37"/>
      <c r="K151" s="37"/>
      <c r="L151" s="38"/>
    </row>
    <row r="152" spans="6:12" s="36" customFormat="1" x14ac:dyDescent="0.25">
      <c r="F152" s="52"/>
      <c r="G152" s="37"/>
      <c r="H152" s="37"/>
      <c r="I152" s="38"/>
      <c r="J152" s="37"/>
      <c r="K152" s="37"/>
      <c r="L152" s="38"/>
    </row>
    <row r="153" spans="6:12" s="36" customFormat="1" x14ac:dyDescent="0.25">
      <c r="F153" s="52"/>
      <c r="G153" s="37"/>
      <c r="H153" s="37"/>
      <c r="I153" s="38"/>
      <c r="J153" s="37"/>
      <c r="K153" s="37"/>
      <c r="L153" s="38"/>
    </row>
    <row r="154" spans="6:12" s="36" customFormat="1" x14ac:dyDescent="0.25">
      <c r="F154" s="52"/>
      <c r="G154" s="37"/>
      <c r="H154" s="37"/>
      <c r="I154" s="38"/>
      <c r="J154" s="37"/>
      <c r="K154" s="37"/>
      <c r="L154" s="38"/>
    </row>
    <row r="155" spans="6:12" s="36" customFormat="1" x14ac:dyDescent="0.25">
      <c r="F155" s="52"/>
      <c r="G155" s="37"/>
      <c r="H155" s="37"/>
      <c r="I155" s="38"/>
      <c r="J155" s="37"/>
      <c r="K155" s="37"/>
      <c r="L155" s="38"/>
    </row>
    <row r="156" spans="6:12" s="36" customFormat="1" x14ac:dyDescent="0.25">
      <c r="F156" s="52"/>
      <c r="G156" s="37"/>
      <c r="H156" s="37"/>
      <c r="I156" s="38"/>
      <c r="J156" s="37"/>
      <c r="K156" s="37"/>
      <c r="L156" s="38"/>
    </row>
    <row r="157" spans="6:12" s="36" customFormat="1" x14ac:dyDescent="0.25">
      <c r="F157" s="52"/>
      <c r="G157" s="37"/>
      <c r="H157" s="37"/>
      <c r="I157" s="38"/>
      <c r="J157" s="37"/>
      <c r="K157" s="37"/>
      <c r="L157" s="38"/>
    </row>
    <row r="158" spans="6:12" s="36" customFormat="1" x14ac:dyDescent="0.25">
      <c r="F158" s="52"/>
      <c r="G158" s="37"/>
      <c r="H158" s="37"/>
      <c r="I158" s="38"/>
      <c r="J158" s="37"/>
      <c r="K158" s="37"/>
      <c r="L158" s="38"/>
    </row>
    <row r="159" spans="6:12" s="36" customFormat="1" x14ac:dyDescent="0.25">
      <c r="F159" s="52"/>
      <c r="G159" s="37"/>
      <c r="H159" s="37"/>
      <c r="I159" s="38"/>
      <c r="J159" s="37"/>
      <c r="K159" s="37"/>
      <c r="L159" s="38"/>
    </row>
    <row r="160" spans="6:12" s="36" customFormat="1" x14ac:dyDescent="0.25">
      <c r="F160" s="52"/>
      <c r="G160" s="37"/>
      <c r="H160" s="37"/>
      <c r="I160" s="38"/>
      <c r="J160" s="37"/>
      <c r="K160" s="37"/>
      <c r="L160" s="38"/>
    </row>
    <row r="161" spans="6:12" s="36" customFormat="1" x14ac:dyDescent="0.25">
      <c r="F161" s="52"/>
      <c r="G161" s="37"/>
      <c r="H161" s="37"/>
      <c r="I161" s="38"/>
      <c r="J161" s="37"/>
      <c r="K161" s="37"/>
      <c r="L161" s="38"/>
    </row>
    <row r="162" spans="6:12" s="36" customFormat="1" x14ac:dyDescent="0.25">
      <c r="F162" s="52"/>
      <c r="G162" s="37"/>
      <c r="H162" s="37"/>
      <c r="I162" s="38"/>
      <c r="J162" s="37"/>
      <c r="K162" s="37"/>
      <c r="L162" s="38"/>
    </row>
    <row r="163" spans="6:12" s="36" customFormat="1" x14ac:dyDescent="0.25">
      <c r="F163" s="52"/>
      <c r="G163" s="37"/>
      <c r="H163" s="37"/>
      <c r="I163" s="38"/>
      <c r="J163" s="37"/>
      <c r="K163" s="37"/>
      <c r="L163" s="38"/>
    </row>
    <row r="164" spans="6:12" s="36" customFormat="1" x14ac:dyDescent="0.25">
      <c r="F164" s="52"/>
      <c r="G164" s="37"/>
      <c r="H164" s="37"/>
      <c r="I164" s="38"/>
      <c r="J164" s="37"/>
      <c r="K164" s="37"/>
      <c r="L164" s="38"/>
    </row>
    <row r="165" spans="6:12" s="36" customFormat="1" x14ac:dyDescent="0.25">
      <c r="F165" s="52"/>
      <c r="G165" s="37"/>
      <c r="H165" s="37"/>
      <c r="I165" s="38"/>
      <c r="J165" s="37"/>
      <c r="K165" s="37"/>
      <c r="L165" s="38"/>
    </row>
    <row r="166" spans="6:12" s="36" customFormat="1" x14ac:dyDescent="0.25">
      <c r="F166" s="52"/>
      <c r="G166" s="37"/>
      <c r="H166" s="37"/>
      <c r="I166" s="38"/>
      <c r="J166" s="37"/>
      <c r="K166" s="37"/>
      <c r="L166" s="38"/>
    </row>
    <row r="167" spans="6:12" s="36" customFormat="1" x14ac:dyDescent="0.25">
      <c r="F167" s="52"/>
      <c r="G167" s="37"/>
      <c r="H167" s="37"/>
      <c r="I167" s="38"/>
      <c r="J167" s="37"/>
      <c r="K167" s="37"/>
      <c r="L167" s="38"/>
    </row>
    <row r="168" spans="6:12" s="36" customFormat="1" x14ac:dyDescent="0.25">
      <c r="F168" s="52"/>
      <c r="G168" s="37"/>
      <c r="H168" s="37"/>
      <c r="I168" s="38"/>
      <c r="J168" s="37"/>
      <c r="K168" s="37"/>
      <c r="L168" s="38"/>
    </row>
    <row r="169" spans="6:12" s="36" customFormat="1" x14ac:dyDescent="0.25">
      <c r="F169" s="52"/>
      <c r="G169" s="37"/>
      <c r="H169" s="37"/>
      <c r="I169" s="38"/>
      <c r="J169" s="37"/>
      <c r="K169" s="37"/>
      <c r="L169" s="38"/>
    </row>
    <row r="170" spans="6:12" s="36" customFormat="1" x14ac:dyDescent="0.25">
      <c r="F170" s="52"/>
      <c r="G170" s="37"/>
      <c r="H170" s="37"/>
      <c r="I170" s="38"/>
      <c r="J170" s="37"/>
      <c r="K170" s="37"/>
      <c r="L170" s="38"/>
    </row>
    <row r="171" spans="6:12" s="36" customFormat="1" x14ac:dyDescent="0.25">
      <c r="F171" s="52"/>
      <c r="G171" s="37"/>
      <c r="H171" s="37"/>
      <c r="I171" s="38"/>
      <c r="J171" s="37"/>
      <c r="K171" s="37"/>
      <c r="L171" s="38"/>
    </row>
    <row r="172" spans="6:12" s="36" customFormat="1" x14ac:dyDescent="0.25">
      <c r="F172" s="52"/>
      <c r="G172" s="37"/>
      <c r="H172" s="37"/>
      <c r="I172" s="38"/>
      <c r="J172" s="37"/>
      <c r="K172" s="37"/>
      <c r="L172" s="38"/>
    </row>
    <row r="173" spans="6:12" s="36" customFormat="1" x14ac:dyDescent="0.25">
      <c r="F173" s="52"/>
      <c r="G173" s="37"/>
      <c r="H173" s="37"/>
      <c r="I173" s="38"/>
      <c r="J173" s="37"/>
      <c r="K173" s="37"/>
      <c r="L173" s="38"/>
    </row>
    <row r="174" spans="6:12" s="36" customFormat="1" x14ac:dyDescent="0.25">
      <c r="F174" s="52"/>
      <c r="G174" s="37"/>
      <c r="H174" s="37"/>
      <c r="I174" s="38"/>
      <c r="J174" s="37"/>
      <c r="K174" s="37"/>
      <c r="L174" s="38"/>
    </row>
    <row r="175" spans="6:12" s="36" customFormat="1" x14ac:dyDescent="0.25">
      <c r="F175" s="52"/>
      <c r="G175" s="37"/>
      <c r="H175" s="37"/>
      <c r="I175" s="38"/>
      <c r="J175" s="37"/>
      <c r="K175" s="37"/>
      <c r="L175" s="38"/>
    </row>
    <row r="176" spans="6:12" s="36" customFormat="1" x14ac:dyDescent="0.25">
      <c r="F176" s="52"/>
      <c r="G176" s="37"/>
      <c r="H176" s="37"/>
      <c r="I176" s="38"/>
      <c r="J176" s="37"/>
      <c r="K176" s="37"/>
      <c r="L176" s="38"/>
    </row>
    <row r="177" spans="6:12" s="36" customFormat="1" x14ac:dyDescent="0.25">
      <c r="F177" s="52"/>
      <c r="G177" s="37"/>
      <c r="H177" s="37"/>
      <c r="I177" s="38"/>
      <c r="J177" s="37"/>
      <c r="K177" s="37"/>
      <c r="L177" s="38"/>
    </row>
    <row r="178" spans="6:12" s="36" customFormat="1" x14ac:dyDescent="0.25">
      <c r="F178" s="52"/>
      <c r="G178" s="37"/>
      <c r="H178" s="37"/>
      <c r="I178" s="38"/>
      <c r="J178" s="37"/>
      <c r="K178" s="37"/>
      <c r="L178" s="38"/>
    </row>
    <row r="179" spans="6:12" s="36" customFormat="1" x14ac:dyDescent="0.25">
      <c r="F179" s="52"/>
      <c r="G179" s="37"/>
      <c r="H179" s="37"/>
      <c r="I179" s="38"/>
      <c r="J179" s="37"/>
      <c r="K179" s="37"/>
      <c r="L179" s="38"/>
    </row>
    <row r="180" spans="6:12" s="36" customFormat="1" x14ac:dyDescent="0.25">
      <c r="F180" s="52"/>
      <c r="G180" s="37"/>
      <c r="H180" s="37"/>
      <c r="I180" s="38"/>
      <c r="J180" s="37"/>
      <c r="K180" s="37"/>
      <c r="L180" s="38"/>
    </row>
    <row r="181" spans="6:12" s="36" customFormat="1" x14ac:dyDescent="0.25">
      <c r="F181" s="52"/>
      <c r="G181" s="37"/>
      <c r="H181" s="37"/>
      <c r="I181" s="38"/>
      <c r="J181" s="37"/>
      <c r="K181" s="37"/>
      <c r="L181" s="38"/>
    </row>
    <row r="182" spans="6:12" s="36" customFormat="1" x14ac:dyDescent="0.25">
      <c r="F182" s="52"/>
      <c r="G182" s="37"/>
      <c r="H182" s="37"/>
      <c r="I182" s="38"/>
      <c r="J182" s="37"/>
      <c r="K182" s="37"/>
      <c r="L182" s="38"/>
    </row>
    <row r="183" spans="6:12" s="36" customFormat="1" x14ac:dyDescent="0.25">
      <c r="F183" s="52"/>
      <c r="G183" s="37"/>
      <c r="H183" s="37"/>
      <c r="I183" s="38"/>
      <c r="J183" s="37"/>
      <c r="K183" s="37"/>
      <c r="L183" s="38"/>
    </row>
    <row r="184" spans="6:12" s="36" customFormat="1" x14ac:dyDescent="0.25">
      <c r="F184" s="52"/>
      <c r="G184" s="37"/>
      <c r="H184" s="37"/>
      <c r="I184" s="38"/>
      <c r="J184" s="37"/>
      <c r="K184" s="37"/>
      <c r="L184" s="38"/>
    </row>
    <row r="185" spans="6:12" s="36" customFormat="1" x14ac:dyDescent="0.25">
      <c r="F185" s="52"/>
      <c r="G185" s="37"/>
      <c r="H185" s="37"/>
      <c r="I185" s="38"/>
      <c r="J185" s="37"/>
      <c r="K185" s="37"/>
      <c r="L185" s="38"/>
    </row>
    <row r="186" spans="6:12" s="36" customFormat="1" x14ac:dyDescent="0.25">
      <c r="F186" s="52"/>
      <c r="G186" s="37"/>
      <c r="H186" s="37"/>
      <c r="I186" s="38"/>
      <c r="J186" s="37"/>
      <c r="K186" s="37"/>
      <c r="L186" s="38"/>
    </row>
    <row r="187" spans="6:12" s="36" customFormat="1" x14ac:dyDescent="0.25">
      <c r="F187" s="52"/>
      <c r="G187" s="37"/>
      <c r="H187" s="37"/>
      <c r="I187" s="38"/>
      <c r="J187" s="37"/>
      <c r="K187" s="37"/>
      <c r="L187" s="38"/>
    </row>
    <row r="188" spans="6:12" s="36" customFormat="1" x14ac:dyDescent="0.25">
      <c r="F188" s="52"/>
      <c r="G188" s="37"/>
      <c r="H188" s="37"/>
      <c r="I188" s="38"/>
      <c r="J188" s="37"/>
      <c r="K188" s="37"/>
      <c r="L188" s="38"/>
    </row>
    <row r="189" spans="6:12" s="36" customFormat="1" x14ac:dyDescent="0.25">
      <c r="F189" s="52"/>
      <c r="G189" s="37"/>
      <c r="H189" s="37"/>
      <c r="I189" s="38"/>
      <c r="J189" s="37"/>
      <c r="K189" s="37"/>
      <c r="L189" s="38"/>
    </row>
    <row r="190" spans="6:12" s="36" customFormat="1" x14ac:dyDescent="0.25">
      <c r="F190" s="52"/>
      <c r="G190" s="37"/>
      <c r="H190" s="37"/>
      <c r="I190" s="38"/>
      <c r="J190" s="37"/>
      <c r="K190" s="37"/>
      <c r="L190" s="38"/>
    </row>
    <row r="191" spans="6:12" s="36" customFormat="1" x14ac:dyDescent="0.25">
      <c r="F191" s="52"/>
      <c r="G191" s="37"/>
      <c r="H191" s="37"/>
      <c r="I191" s="38"/>
      <c r="J191" s="37"/>
      <c r="K191" s="37"/>
      <c r="L191" s="38"/>
    </row>
    <row r="192" spans="6:12" s="36" customFormat="1" x14ac:dyDescent="0.25">
      <c r="F192" s="52"/>
      <c r="G192" s="37"/>
      <c r="H192" s="37"/>
      <c r="I192" s="38"/>
      <c r="J192" s="37"/>
      <c r="K192" s="37"/>
      <c r="L192" s="38"/>
    </row>
    <row r="193" spans="6:12" s="36" customFormat="1" x14ac:dyDescent="0.25">
      <c r="F193" s="52"/>
      <c r="G193" s="37"/>
      <c r="H193" s="37"/>
      <c r="I193" s="38"/>
      <c r="J193" s="37"/>
      <c r="K193" s="37"/>
      <c r="L193" s="38"/>
    </row>
    <row r="194" spans="6:12" s="36" customFormat="1" x14ac:dyDescent="0.25">
      <c r="F194" s="52"/>
      <c r="G194" s="37"/>
      <c r="H194" s="37"/>
      <c r="I194" s="38"/>
      <c r="J194" s="37"/>
      <c r="K194" s="37"/>
      <c r="L194" s="38"/>
    </row>
    <row r="195" spans="6:12" s="36" customFormat="1" x14ac:dyDescent="0.25">
      <c r="F195" s="52"/>
      <c r="G195" s="37"/>
      <c r="H195" s="37"/>
      <c r="I195" s="38"/>
      <c r="J195" s="37"/>
      <c r="K195" s="37"/>
      <c r="L195" s="38"/>
    </row>
    <row r="196" spans="6:12" s="36" customFormat="1" x14ac:dyDescent="0.25">
      <c r="F196" s="52"/>
      <c r="G196" s="37"/>
      <c r="H196" s="37"/>
      <c r="I196" s="38"/>
      <c r="J196" s="37"/>
      <c r="K196" s="37"/>
      <c r="L196" s="38"/>
    </row>
    <row r="197" spans="6:12" s="36" customFormat="1" x14ac:dyDescent="0.25">
      <c r="F197" s="52"/>
      <c r="G197" s="37"/>
      <c r="H197" s="37"/>
      <c r="I197" s="38"/>
      <c r="J197" s="37"/>
      <c r="K197" s="37"/>
      <c r="L197" s="38"/>
    </row>
    <row r="198" spans="6:12" s="36" customFormat="1" x14ac:dyDescent="0.25">
      <c r="F198" s="52"/>
      <c r="G198" s="37"/>
      <c r="H198" s="37"/>
      <c r="I198" s="38"/>
      <c r="J198" s="37"/>
      <c r="K198" s="37"/>
      <c r="L198" s="38"/>
    </row>
    <row r="199" spans="6:12" s="36" customFormat="1" x14ac:dyDescent="0.25">
      <c r="F199" s="52"/>
      <c r="G199" s="37"/>
      <c r="H199" s="37"/>
      <c r="I199" s="38"/>
      <c r="J199" s="37"/>
      <c r="K199" s="37"/>
      <c r="L199" s="38"/>
    </row>
    <row r="200" spans="6:12" s="36" customFormat="1" x14ac:dyDescent="0.25">
      <c r="F200" s="52"/>
      <c r="G200" s="37"/>
      <c r="H200" s="37"/>
      <c r="I200" s="38"/>
      <c r="J200" s="37"/>
      <c r="K200" s="37"/>
      <c r="L200" s="38"/>
    </row>
    <row r="201" spans="6:12" s="36" customFormat="1" x14ac:dyDescent="0.25">
      <c r="F201" s="52"/>
      <c r="G201" s="37"/>
      <c r="H201" s="37"/>
      <c r="I201" s="38"/>
      <c r="J201" s="37"/>
      <c r="K201" s="37"/>
      <c r="L201" s="38"/>
    </row>
    <row r="202" spans="6:12" s="36" customFormat="1" x14ac:dyDescent="0.25">
      <c r="F202" s="52"/>
      <c r="G202" s="37"/>
      <c r="H202" s="37"/>
      <c r="I202" s="38"/>
      <c r="J202" s="37"/>
      <c r="K202" s="37"/>
      <c r="L202" s="38"/>
    </row>
    <row r="203" spans="6:12" s="36" customFormat="1" x14ac:dyDescent="0.25">
      <c r="F203" s="52"/>
      <c r="G203" s="37"/>
      <c r="H203" s="37"/>
      <c r="I203" s="38"/>
      <c r="J203" s="37"/>
      <c r="K203" s="37"/>
      <c r="L203" s="38"/>
    </row>
    <row r="204" spans="6:12" s="36" customFormat="1" x14ac:dyDescent="0.25">
      <c r="F204" s="52"/>
      <c r="G204" s="37"/>
      <c r="H204" s="37"/>
      <c r="I204" s="38"/>
      <c r="J204" s="37"/>
      <c r="K204" s="37"/>
      <c r="L204" s="38"/>
    </row>
    <row r="205" spans="6:12" s="36" customFormat="1" x14ac:dyDescent="0.25">
      <c r="F205" s="52"/>
      <c r="G205" s="37"/>
      <c r="H205" s="37"/>
      <c r="I205" s="38"/>
      <c r="J205" s="37"/>
      <c r="K205" s="37"/>
      <c r="L205" s="38"/>
    </row>
    <row r="206" spans="6:12" s="36" customFormat="1" x14ac:dyDescent="0.25">
      <c r="F206" s="52"/>
      <c r="G206" s="37"/>
      <c r="H206" s="37"/>
      <c r="I206" s="38"/>
      <c r="J206" s="37"/>
      <c r="K206" s="37"/>
      <c r="L206" s="38"/>
    </row>
    <row r="207" spans="6:12" s="36" customFormat="1" x14ac:dyDescent="0.25">
      <c r="F207" s="52"/>
      <c r="G207" s="37"/>
      <c r="H207" s="37"/>
      <c r="I207" s="38"/>
      <c r="J207" s="37"/>
      <c r="K207" s="37"/>
      <c r="L207" s="38"/>
    </row>
    <row r="208" spans="6:12" s="36" customFormat="1" x14ac:dyDescent="0.25">
      <c r="F208" s="52"/>
      <c r="G208" s="37"/>
      <c r="H208" s="37"/>
      <c r="I208" s="38"/>
      <c r="J208" s="37"/>
      <c r="K208" s="37"/>
      <c r="L208" s="38"/>
    </row>
    <row r="209" spans="6:12" s="36" customFormat="1" x14ac:dyDescent="0.25">
      <c r="F209" s="52"/>
      <c r="G209" s="37"/>
      <c r="H209" s="37"/>
      <c r="I209" s="38"/>
      <c r="J209" s="37"/>
      <c r="K209" s="37"/>
      <c r="L209" s="38"/>
    </row>
    <row r="210" spans="6:12" s="36" customFormat="1" x14ac:dyDescent="0.25">
      <c r="F210" s="52"/>
      <c r="G210" s="37"/>
      <c r="H210" s="37"/>
      <c r="I210" s="38"/>
      <c r="J210" s="37"/>
      <c r="K210" s="37"/>
      <c r="L210" s="38"/>
    </row>
    <row r="211" spans="6:12" s="36" customFormat="1" x14ac:dyDescent="0.25">
      <c r="F211" s="52"/>
      <c r="G211" s="37"/>
      <c r="H211" s="37"/>
      <c r="I211" s="38"/>
      <c r="J211" s="37"/>
      <c r="K211" s="37"/>
      <c r="L211" s="38"/>
    </row>
    <row r="212" spans="6:12" s="36" customFormat="1" x14ac:dyDescent="0.25">
      <c r="F212" s="52"/>
      <c r="G212" s="37"/>
      <c r="H212" s="37"/>
      <c r="I212" s="38"/>
      <c r="J212" s="37"/>
      <c r="K212" s="37"/>
      <c r="L212" s="38"/>
    </row>
    <row r="213" spans="6:12" s="36" customFormat="1" x14ac:dyDescent="0.25">
      <c r="F213" s="52"/>
      <c r="G213" s="37"/>
      <c r="H213" s="37"/>
      <c r="I213" s="38"/>
      <c r="J213" s="37"/>
      <c r="K213" s="37"/>
      <c r="L213" s="38"/>
    </row>
    <row r="214" spans="6:12" s="36" customFormat="1" x14ac:dyDescent="0.25">
      <c r="F214" s="52"/>
      <c r="G214" s="37"/>
      <c r="H214" s="37"/>
      <c r="I214" s="38"/>
      <c r="J214" s="37"/>
      <c r="K214" s="37"/>
      <c r="L214" s="38"/>
    </row>
    <row r="215" spans="6:12" s="36" customFormat="1" x14ac:dyDescent="0.25">
      <c r="F215" s="52"/>
      <c r="G215" s="37"/>
      <c r="H215" s="37"/>
      <c r="I215" s="38"/>
      <c r="J215" s="37"/>
      <c r="K215" s="37"/>
      <c r="L215" s="38"/>
    </row>
    <row r="216" spans="6:12" s="36" customFormat="1" x14ac:dyDescent="0.25">
      <c r="F216" s="52"/>
      <c r="G216" s="37"/>
      <c r="H216" s="37"/>
      <c r="I216" s="38"/>
      <c r="J216" s="37"/>
      <c r="K216" s="37"/>
      <c r="L216" s="38"/>
    </row>
    <row r="217" spans="6:12" s="36" customFormat="1" x14ac:dyDescent="0.25">
      <c r="F217" s="52"/>
      <c r="G217" s="37"/>
      <c r="H217" s="37"/>
      <c r="I217" s="38"/>
      <c r="J217" s="37"/>
      <c r="K217" s="37"/>
      <c r="L217" s="38"/>
    </row>
    <row r="218" spans="6:12" s="36" customFormat="1" x14ac:dyDescent="0.25">
      <c r="F218" s="52"/>
      <c r="G218" s="37"/>
      <c r="H218" s="37"/>
      <c r="I218" s="38"/>
      <c r="J218" s="37"/>
      <c r="K218" s="37"/>
      <c r="L218" s="38"/>
    </row>
    <row r="219" spans="6:12" s="36" customFormat="1" x14ac:dyDescent="0.25">
      <c r="F219" s="52"/>
      <c r="G219" s="37"/>
      <c r="H219" s="37"/>
      <c r="I219" s="38"/>
      <c r="J219" s="37"/>
      <c r="K219" s="37"/>
      <c r="L219" s="38"/>
    </row>
    <row r="220" spans="6:12" s="36" customFormat="1" x14ac:dyDescent="0.25">
      <c r="F220" s="52"/>
      <c r="G220" s="37"/>
      <c r="H220" s="37"/>
      <c r="I220" s="38"/>
      <c r="J220" s="37"/>
      <c r="K220" s="37"/>
      <c r="L220" s="38"/>
    </row>
    <row r="221" spans="6:12" s="36" customFormat="1" x14ac:dyDescent="0.25">
      <c r="F221" s="52"/>
      <c r="G221" s="37"/>
      <c r="H221" s="37"/>
      <c r="I221" s="38"/>
      <c r="J221" s="37"/>
      <c r="K221" s="37"/>
      <c r="L221" s="38"/>
    </row>
    <row r="222" spans="6:12" s="36" customFormat="1" x14ac:dyDescent="0.25">
      <c r="F222" s="52"/>
      <c r="G222" s="37"/>
      <c r="H222" s="37"/>
      <c r="I222" s="38"/>
      <c r="J222" s="37"/>
      <c r="K222" s="37"/>
      <c r="L222" s="38"/>
    </row>
    <row r="223" spans="6:12" s="36" customFormat="1" x14ac:dyDescent="0.25">
      <c r="F223" s="52"/>
      <c r="G223" s="37"/>
      <c r="H223" s="37"/>
      <c r="I223" s="38"/>
      <c r="J223" s="37"/>
      <c r="K223" s="37"/>
      <c r="L223" s="38"/>
    </row>
    <row r="224" spans="6:12" s="36" customFormat="1" x14ac:dyDescent="0.25">
      <c r="F224" s="52"/>
      <c r="G224" s="37"/>
      <c r="H224" s="37"/>
      <c r="I224" s="38"/>
      <c r="J224" s="37"/>
      <c r="K224" s="37"/>
      <c r="L224" s="38"/>
    </row>
    <row r="225" spans="6:12" s="36" customFormat="1" x14ac:dyDescent="0.25">
      <c r="F225" s="52"/>
      <c r="G225" s="37"/>
      <c r="H225" s="37"/>
      <c r="I225" s="38"/>
      <c r="J225" s="37"/>
      <c r="K225" s="37"/>
      <c r="L225" s="38"/>
    </row>
    <row r="226" spans="6:12" s="36" customFormat="1" x14ac:dyDescent="0.25">
      <c r="F226" s="52"/>
      <c r="G226" s="37"/>
      <c r="H226" s="37"/>
      <c r="I226" s="38"/>
      <c r="J226" s="37"/>
      <c r="K226" s="37"/>
      <c r="L226" s="38"/>
    </row>
    <row r="227" spans="6:12" s="36" customFormat="1" x14ac:dyDescent="0.25">
      <c r="F227" s="52"/>
      <c r="G227" s="37"/>
      <c r="H227" s="37"/>
      <c r="I227" s="38"/>
      <c r="J227" s="37"/>
      <c r="K227" s="37"/>
      <c r="L227" s="38"/>
    </row>
    <row r="228" spans="6:12" s="36" customFormat="1" x14ac:dyDescent="0.25">
      <c r="F228" s="52"/>
      <c r="G228" s="37"/>
      <c r="H228" s="37"/>
      <c r="I228" s="38"/>
      <c r="J228" s="37"/>
      <c r="K228" s="37"/>
      <c r="L228" s="38"/>
    </row>
    <row r="229" spans="6:12" s="36" customFormat="1" x14ac:dyDescent="0.25">
      <c r="F229" s="52"/>
      <c r="G229" s="37"/>
      <c r="H229" s="37"/>
      <c r="I229" s="38"/>
      <c r="J229" s="37"/>
      <c r="K229" s="37"/>
      <c r="L229" s="38"/>
    </row>
    <row r="230" spans="6:12" s="36" customFormat="1" x14ac:dyDescent="0.25">
      <c r="F230" s="52"/>
      <c r="G230" s="37"/>
      <c r="H230" s="37"/>
      <c r="I230" s="38"/>
      <c r="J230" s="37"/>
      <c r="K230" s="37"/>
      <c r="L230" s="38"/>
    </row>
    <row r="231" spans="6:12" s="36" customFormat="1" x14ac:dyDescent="0.25">
      <c r="F231" s="52"/>
      <c r="G231" s="37"/>
      <c r="H231" s="37"/>
      <c r="I231" s="38"/>
      <c r="J231" s="37"/>
      <c r="K231" s="37"/>
      <c r="L231" s="38"/>
    </row>
    <row r="232" spans="6:12" s="36" customFormat="1" x14ac:dyDescent="0.25">
      <c r="F232" s="52"/>
      <c r="G232" s="37"/>
      <c r="H232" s="37"/>
      <c r="I232" s="38"/>
      <c r="J232" s="37"/>
      <c r="K232" s="37"/>
      <c r="L232" s="38"/>
    </row>
    <row r="233" spans="6:12" s="36" customFormat="1" x14ac:dyDescent="0.25">
      <c r="F233" s="52"/>
      <c r="G233" s="37"/>
      <c r="H233" s="37"/>
      <c r="I233" s="38"/>
      <c r="J233" s="37"/>
      <c r="K233" s="37"/>
      <c r="L233" s="38"/>
    </row>
    <row r="234" spans="6:12" s="36" customFormat="1" x14ac:dyDescent="0.25">
      <c r="F234" s="52"/>
      <c r="G234" s="37"/>
      <c r="H234" s="37"/>
      <c r="I234" s="38"/>
      <c r="J234" s="37"/>
      <c r="K234" s="37"/>
      <c r="L234" s="38"/>
    </row>
    <row r="235" spans="6:12" s="36" customFormat="1" x14ac:dyDescent="0.25">
      <c r="F235" s="52"/>
      <c r="G235" s="37"/>
      <c r="H235" s="37"/>
      <c r="I235" s="38"/>
      <c r="J235" s="37"/>
      <c r="K235" s="37"/>
      <c r="L235" s="38"/>
    </row>
    <row r="236" spans="6:12" s="36" customFormat="1" x14ac:dyDescent="0.25">
      <c r="F236" s="52"/>
      <c r="G236" s="37"/>
      <c r="H236" s="37"/>
      <c r="I236" s="38"/>
      <c r="J236" s="37"/>
      <c r="K236" s="37"/>
      <c r="L236" s="38"/>
    </row>
    <row r="237" spans="6:12" s="36" customFormat="1" x14ac:dyDescent="0.25">
      <c r="F237" s="52"/>
      <c r="G237" s="37"/>
      <c r="H237" s="37"/>
      <c r="I237" s="38"/>
      <c r="J237" s="37"/>
      <c r="K237" s="37"/>
      <c r="L237" s="38"/>
    </row>
    <row r="238" spans="6:12" s="36" customFormat="1" x14ac:dyDescent="0.25">
      <c r="F238" s="52"/>
      <c r="G238" s="37"/>
      <c r="H238" s="37"/>
      <c r="I238" s="38"/>
      <c r="J238" s="37"/>
      <c r="K238" s="37"/>
      <c r="L238" s="38"/>
    </row>
    <row r="239" spans="6:12" s="36" customFormat="1" x14ac:dyDescent="0.25">
      <c r="F239" s="52"/>
      <c r="G239" s="37"/>
      <c r="H239" s="37"/>
      <c r="I239" s="38"/>
      <c r="J239" s="37"/>
      <c r="K239" s="37"/>
      <c r="L239" s="38"/>
    </row>
    <row r="240" spans="6:12" s="36" customFormat="1" x14ac:dyDescent="0.25">
      <c r="F240" s="52"/>
      <c r="G240" s="37"/>
      <c r="H240" s="37"/>
      <c r="I240" s="38"/>
      <c r="J240" s="37"/>
      <c r="K240" s="37"/>
      <c r="L240" s="38"/>
    </row>
    <row r="241" spans="6:12" s="36" customFormat="1" x14ac:dyDescent="0.25">
      <c r="F241" s="52"/>
      <c r="G241" s="37"/>
      <c r="H241" s="37"/>
      <c r="I241" s="38"/>
      <c r="J241" s="37"/>
      <c r="K241" s="37"/>
      <c r="L241" s="38"/>
    </row>
    <row r="242" spans="6:12" s="36" customFormat="1" x14ac:dyDescent="0.25">
      <c r="F242" s="52"/>
      <c r="G242" s="37"/>
      <c r="H242" s="37"/>
      <c r="I242" s="38"/>
      <c r="J242" s="37"/>
      <c r="K242" s="37"/>
      <c r="L242" s="38"/>
    </row>
    <row r="243" spans="6:12" s="36" customFormat="1" x14ac:dyDescent="0.25">
      <c r="F243" s="52"/>
      <c r="G243" s="37"/>
      <c r="H243" s="37"/>
      <c r="I243" s="38"/>
      <c r="J243" s="37"/>
      <c r="K243" s="37"/>
      <c r="L243" s="38"/>
    </row>
    <row r="244" spans="6:12" s="36" customFormat="1" x14ac:dyDescent="0.25">
      <c r="F244" s="52"/>
      <c r="G244" s="37"/>
      <c r="H244" s="37"/>
      <c r="I244" s="38"/>
      <c r="J244" s="37"/>
      <c r="K244" s="37"/>
      <c r="L244" s="38"/>
    </row>
    <row r="245" spans="6:12" s="36" customFormat="1" x14ac:dyDescent="0.25">
      <c r="F245" s="52"/>
      <c r="G245" s="37"/>
      <c r="H245" s="37"/>
      <c r="I245" s="38"/>
      <c r="J245" s="37"/>
      <c r="K245" s="37"/>
      <c r="L245" s="38"/>
    </row>
    <row r="246" spans="6:12" s="36" customFormat="1" x14ac:dyDescent="0.25">
      <c r="F246" s="52"/>
      <c r="G246" s="37"/>
      <c r="H246" s="37"/>
      <c r="I246" s="38"/>
      <c r="J246" s="37"/>
      <c r="K246" s="37"/>
      <c r="L246" s="38"/>
    </row>
    <row r="247" spans="6:12" s="36" customFormat="1" x14ac:dyDescent="0.25">
      <c r="F247" s="52"/>
      <c r="G247" s="37"/>
      <c r="H247" s="37"/>
      <c r="I247" s="38"/>
      <c r="J247" s="37"/>
      <c r="K247" s="37"/>
      <c r="L247" s="38"/>
    </row>
    <row r="248" spans="6:12" s="36" customFormat="1" x14ac:dyDescent="0.25">
      <c r="F248" s="52"/>
      <c r="G248" s="37"/>
      <c r="H248" s="37"/>
      <c r="I248" s="38"/>
      <c r="J248" s="37"/>
      <c r="K248" s="37"/>
      <c r="L248" s="38"/>
    </row>
    <row r="249" spans="6:12" s="36" customFormat="1" x14ac:dyDescent="0.25">
      <c r="F249" s="52"/>
      <c r="G249" s="37"/>
      <c r="H249" s="37"/>
      <c r="I249" s="38"/>
      <c r="J249" s="37"/>
      <c r="K249" s="37"/>
      <c r="L249" s="38"/>
    </row>
    <row r="250" spans="6:12" s="36" customFormat="1" x14ac:dyDescent="0.25">
      <c r="F250" s="52"/>
      <c r="G250" s="37"/>
      <c r="H250" s="37"/>
      <c r="I250" s="38"/>
      <c r="J250" s="37"/>
      <c r="K250" s="37"/>
      <c r="L250" s="38"/>
    </row>
    <row r="251" spans="6:12" s="36" customFormat="1" x14ac:dyDescent="0.25">
      <c r="F251" s="52"/>
      <c r="G251" s="37"/>
      <c r="H251" s="37"/>
      <c r="I251" s="38"/>
      <c r="J251" s="37"/>
      <c r="K251" s="37"/>
      <c r="L251" s="38"/>
    </row>
    <row r="252" spans="6:12" s="36" customFormat="1" x14ac:dyDescent="0.25">
      <c r="F252" s="52"/>
      <c r="G252" s="37"/>
      <c r="H252" s="37"/>
      <c r="I252" s="38"/>
      <c r="J252" s="37"/>
      <c r="K252" s="37"/>
      <c r="L252" s="38"/>
    </row>
    <row r="253" spans="6:12" s="36" customFormat="1" x14ac:dyDescent="0.25">
      <c r="F253" s="52"/>
      <c r="G253" s="37"/>
      <c r="H253" s="37"/>
      <c r="I253" s="38"/>
      <c r="J253" s="37"/>
      <c r="K253" s="37"/>
      <c r="L253" s="38"/>
    </row>
    <row r="254" spans="6:12" s="36" customFormat="1" x14ac:dyDescent="0.25">
      <c r="F254" s="52"/>
      <c r="G254" s="37"/>
      <c r="H254" s="37"/>
      <c r="I254" s="38"/>
      <c r="J254" s="37"/>
      <c r="K254" s="37"/>
      <c r="L254" s="38"/>
    </row>
    <row r="255" spans="6:12" s="36" customFormat="1" x14ac:dyDescent="0.25">
      <c r="F255" s="52"/>
      <c r="G255" s="37"/>
      <c r="H255" s="37"/>
      <c r="I255" s="38"/>
      <c r="J255" s="37"/>
      <c r="K255" s="37"/>
      <c r="L255" s="38"/>
    </row>
    <row r="256" spans="6:12" s="36" customFormat="1" x14ac:dyDescent="0.25">
      <c r="F256" s="52"/>
      <c r="G256" s="37"/>
      <c r="H256" s="37"/>
      <c r="I256" s="38"/>
      <c r="J256" s="37"/>
      <c r="K256" s="37"/>
      <c r="L256" s="38"/>
    </row>
    <row r="257" spans="6:12" s="36" customFormat="1" x14ac:dyDescent="0.25">
      <c r="F257" s="52"/>
      <c r="G257" s="37"/>
      <c r="H257" s="37"/>
      <c r="I257" s="38"/>
      <c r="J257" s="37"/>
      <c r="K257" s="37"/>
      <c r="L257" s="38"/>
    </row>
    <row r="258" spans="6:12" s="36" customFormat="1" x14ac:dyDescent="0.25">
      <c r="F258" s="52"/>
      <c r="G258" s="37"/>
      <c r="H258" s="37"/>
      <c r="I258" s="38"/>
      <c r="J258" s="37"/>
      <c r="K258" s="37"/>
      <c r="L258" s="38"/>
    </row>
    <row r="259" spans="6:12" s="36" customFormat="1" x14ac:dyDescent="0.25">
      <c r="F259" s="52"/>
      <c r="G259" s="37"/>
      <c r="H259" s="37"/>
      <c r="I259" s="38"/>
      <c r="J259" s="37"/>
      <c r="K259" s="37"/>
      <c r="L259" s="38"/>
    </row>
    <row r="260" spans="6:12" s="36" customFormat="1" x14ac:dyDescent="0.25">
      <c r="F260" s="52"/>
      <c r="G260" s="37"/>
      <c r="H260" s="37"/>
      <c r="I260" s="38"/>
      <c r="J260" s="37"/>
      <c r="K260" s="37"/>
      <c r="L260" s="38"/>
    </row>
    <row r="261" spans="6:12" s="36" customFormat="1" x14ac:dyDescent="0.25">
      <c r="F261" s="52"/>
      <c r="G261" s="37"/>
      <c r="H261" s="37"/>
      <c r="I261" s="38"/>
      <c r="J261" s="37"/>
      <c r="K261" s="37"/>
      <c r="L261" s="38"/>
    </row>
    <row r="262" spans="6:12" s="36" customFormat="1" x14ac:dyDescent="0.25">
      <c r="F262" s="52"/>
      <c r="G262" s="37"/>
      <c r="H262" s="37"/>
      <c r="I262" s="38"/>
      <c r="J262" s="37"/>
      <c r="K262" s="37"/>
      <c r="L262" s="38"/>
    </row>
    <row r="263" spans="6:12" s="36" customFormat="1" x14ac:dyDescent="0.25">
      <c r="F263" s="52"/>
      <c r="G263" s="37"/>
      <c r="H263" s="37"/>
      <c r="I263" s="38"/>
      <c r="J263" s="37"/>
      <c r="K263" s="37"/>
      <c r="L263" s="38"/>
    </row>
    <row r="264" spans="6:12" s="36" customFormat="1" x14ac:dyDescent="0.25">
      <c r="F264" s="52"/>
      <c r="G264" s="37"/>
      <c r="H264" s="37"/>
      <c r="I264" s="38"/>
      <c r="J264" s="37"/>
      <c r="K264" s="37"/>
      <c r="L264" s="38"/>
    </row>
    <row r="265" spans="6:12" s="36" customFormat="1" x14ac:dyDescent="0.25">
      <c r="F265" s="52"/>
      <c r="G265" s="37"/>
      <c r="H265" s="37"/>
      <c r="I265" s="38"/>
      <c r="J265" s="37"/>
      <c r="K265" s="37"/>
      <c r="L265" s="38"/>
    </row>
    <row r="266" spans="6:12" s="36" customFormat="1" x14ac:dyDescent="0.25">
      <c r="F266" s="52"/>
      <c r="G266" s="37"/>
      <c r="H266" s="37"/>
      <c r="I266" s="38"/>
      <c r="J266" s="37"/>
      <c r="K266" s="37"/>
      <c r="L266" s="38"/>
    </row>
    <row r="267" spans="6:12" s="36" customFormat="1" x14ac:dyDescent="0.25">
      <c r="F267" s="52"/>
      <c r="G267" s="37"/>
      <c r="H267" s="37"/>
      <c r="I267" s="38"/>
      <c r="J267" s="37"/>
      <c r="K267" s="37"/>
      <c r="L267" s="38"/>
    </row>
    <row r="268" spans="6:12" s="36" customFormat="1" x14ac:dyDescent="0.25">
      <c r="F268" s="52"/>
      <c r="G268" s="37"/>
      <c r="H268" s="37"/>
      <c r="I268" s="38"/>
      <c r="J268" s="37"/>
      <c r="K268" s="37"/>
      <c r="L268" s="38"/>
    </row>
    <row r="269" spans="6:12" s="36" customFormat="1" x14ac:dyDescent="0.25">
      <c r="F269" s="52"/>
      <c r="G269" s="37"/>
      <c r="H269" s="37"/>
      <c r="I269" s="38"/>
      <c r="J269" s="37"/>
      <c r="K269" s="37"/>
      <c r="L269" s="38"/>
    </row>
    <row r="270" spans="6:12" s="36" customFormat="1" x14ac:dyDescent="0.25">
      <c r="F270" s="52"/>
      <c r="G270" s="37"/>
      <c r="H270" s="37"/>
      <c r="I270" s="38"/>
      <c r="J270" s="37"/>
      <c r="K270" s="37"/>
      <c r="L270" s="38"/>
    </row>
    <row r="271" spans="6:12" s="36" customFormat="1" x14ac:dyDescent="0.25">
      <c r="F271" s="52"/>
      <c r="G271" s="37"/>
      <c r="H271" s="37"/>
      <c r="I271" s="38"/>
      <c r="J271" s="37"/>
      <c r="K271" s="37"/>
      <c r="L271" s="38"/>
    </row>
    <row r="272" spans="6:12" s="36" customFormat="1" x14ac:dyDescent="0.25">
      <c r="F272" s="52"/>
      <c r="G272" s="37"/>
      <c r="H272" s="37"/>
      <c r="I272" s="38"/>
      <c r="J272" s="37"/>
      <c r="K272" s="37"/>
      <c r="L272" s="38"/>
    </row>
    <row r="273" spans="6:12" s="36" customFormat="1" x14ac:dyDescent="0.25">
      <c r="F273" s="52"/>
      <c r="G273" s="37"/>
      <c r="H273" s="37"/>
      <c r="I273" s="38"/>
      <c r="J273" s="37"/>
      <c r="K273" s="37"/>
      <c r="L273" s="38"/>
    </row>
    <row r="274" spans="6:12" s="36" customFormat="1" x14ac:dyDescent="0.25">
      <c r="F274" s="52"/>
      <c r="G274" s="37"/>
      <c r="H274" s="37"/>
      <c r="I274" s="38"/>
      <c r="J274" s="37"/>
      <c r="K274" s="37"/>
      <c r="L274" s="38"/>
    </row>
    <row r="275" spans="6:12" s="36" customFormat="1" x14ac:dyDescent="0.25">
      <c r="F275" s="52"/>
      <c r="G275" s="37"/>
      <c r="H275" s="37"/>
      <c r="I275" s="38"/>
      <c r="J275" s="37"/>
      <c r="K275" s="37"/>
      <c r="L275" s="38"/>
    </row>
    <row r="276" spans="6:12" s="36" customFormat="1" x14ac:dyDescent="0.25">
      <c r="F276" s="52"/>
      <c r="G276" s="37"/>
      <c r="H276" s="37"/>
      <c r="I276" s="38"/>
      <c r="J276" s="37"/>
      <c r="K276" s="37"/>
      <c r="L276" s="38"/>
    </row>
    <row r="277" spans="6:12" s="36" customFormat="1" x14ac:dyDescent="0.25">
      <c r="F277" s="52"/>
      <c r="G277" s="37"/>
      <c r="H277" s="37"/>
      <c r="I277" s="38"/>
      <c r="J277" s="37"/>
      <c r="K277" s="37"/>
      <c r="L277" s="38"/>
    </row>
    <row r="278" spans="6:12" s="36" customFormat="1" x14ac:dyDescent="0.25">
      <c r="F278" s="52"/>
      <c r="G278" s="37"/>
      <c r="H278" s="37"/>
      <c r="I278" s="38"/>
      <c r="J278" s="37"/>
      <c r="K278" s="37"/>
      <c r="L278" s="38"/>
    </row>
    <row r="279" spans="6:12" s="36" customFormat="1" x14ac:dyDescent="0.25">
      <c r="F279" s="52"/>
      <c r="G279" s="37"/>
      <c r="H279" s="37"/>
      <c r="I279" s="38"/>
      <c r="J279" s="37"/>
      <c r="K279" s="37"/>
      <c r="L279" s="38"/>
    </row>
    <row r="280" spans="6:12" s="36" customFormat="1" x14ac:dyDescent="0.25">
      <c r="F280" s="52"/>
      <c r="G280" s="37"/>
      <c r="H280" s="37"/>
      <c r="I280" s="38"/>
      <c r="J280" s="37"/>
      <c r="K280" s="37"/>
      <c r="L280" s="38"/>
    </row>
    <row r="281" spans="6:12" s="36" customFormat="1" x14ac:dyDescent="0.25">
      <c r="F281" s="52"/>
      <c r="G281" s="37"/>
      <c r="H281" s="37"/>
      <c r="I281" s="38"/>
      <c r="J281" s="37"/>
      <c r="K281" s="37"/>
      <c r="L281" s="38"/>
    </row>
    <row r="282" spans="6:12" s="36" customFormat="1" x14ac:dyDescent="0.25">
      <c r="F282" s="52"/>
      <c r="G282" s="37"/>
      <c r="H282" s="37"/>
      <c r="I282" s="38"/>
      <c r="J282" s="37"/>
      <c r="K282" s="37"/>
      <c r="L282" s="38"/>
    </row>
    <row r="283" spans="6:12" s="36" customFormat="1" x14ac:dyDescent="0.25">
      <c r="F283" s="52"/>
      <c r="G283" s="37"/>
      <c r="H283" s="37"/>
      <c r="I283" s="38"/>
      <c r="J283" s="37"/>
      <c r="K283" s="37"/>
      <c r="L283" s="38"/>
    </row>
    <row r="284" spans="6:12" s="36" customFormat="1" x14ac:dyDescent="0.25">
      <c r="F284" s="52"/>
      <c r="G284" s="37"/>
      <c r="H284" s="37"/>
      <c r="I284" s="38"/>
      <c r="J284" s="37"/>
      <c r="K284" s="37"/>
      <c r="L284" s="38"/>
    </row>
    <row r="285" spans="6:12" s="36" customFormat="1" x14ac:dyDescent="0.25">
      <c r="F285" s="52"/>
      <c r="G285" s="37"/>
      <c r="H285" s="37"/>
      <c r="I285" s="38"/>
      <c r="J285" s="37"/>
      <c r="K285" s="37"/>
      <c r="L285" s="38"/>
    </row>
    <row r="286" spans="6:12" s="36" customFormat="1" x14ac:dyDescent="0.25">
      <c r="F286" s="52"/>
      <c r="G286" s="37"/>
      <c r="H286" s="37"/>
      <c r="I286" s="38"/>
      <c r="J286" s="37"/>
      <c r="K286" s="37"/>
      <c r="L286" s="38"/>
    </row>
    <row r="287" spans="6:12" s="36" customFormat="1" x14ac:dyDescent="0.25">
      <c r="F287" s="52"/>
      <c r="G287" s="37"/>
      <c r="H287" s="37"/>
      <c r="I287" s="38"/>
      <c r="J287" s="37"/>
      <c r="K287" s="37"/>
      <c r="L287" s="38"/>
    </row>
    <row r="288" spans="6:12" s="36" customFormat="1" x14ac:dyDescent="0.25">
      <c r="F288" s="52"/>
      <c r="G288" s="37"/>
      <c r="H288" s="37"/>
      <c r="I288" s="38"/>
      <c r="J288" s="37"/>
      <c r="K288" s="37"/>
      <c r="L288" s="38"/>
    </row>
    <row r="289" spans="6:12" s="36" customFormat="1" x14ac:dyDescent="0.25">
      <c r="F289" s="52"/>
      <c r="G289" s="37"/>
      <c r="H289" s="37"/>
      <c r="I289" s="38"/>
      <c r="J289" s="37"/>
      <c r="K289" s="37"/>
      <c r="L289" s="38"/>
    </row>
    <row r="290" spans="6:12" s="36" customFormat="1" x14ac:dyDescent="0.25">
      <c r="F290" s="52"/>
      <c r="G290" s="37"/>
      <c r="H290" s="37"/>
      <c r="I290" s="38"/>
      <c r="J290" s="37"/>
      <c r="K290" s="37"/>
      <c r="L290" s="38"/>
    </row>
    <row r="291" spans="6:12" s="36" customFormat="1" x14ac:dyDescent="0.25">
      <c r="F291" s="52"/>
      <c r="G291" s="37"/>
      <c r="H291" s="37"/>
      <c r="I291" s="38"/>
      <c r="J291" s="37"/>
      <c r="K291" s="37"/>
      <c r="L291" s="38"/>
    </row>
    <row r="292" spans="6:12" s="36" customFormat="1" x14ac:dyDescent="0.25">
      <c r="F292" s="52"/>
      <c r="G292" s="37"/>
      <c r="H292" s="37"/>
      <c r="I292" s="38"/>
      <c r="J292" s="37"/>
      <c r="K292" s="37"/>
      <c r="L292" s="38"/>
    </row>
    <row r="293" spans="6:12" s="36" customFormat="1" x14ac:dyDescent="0.25">
      <c r="F293" s="52"/>
      <c r="G293" s="37"/>
      <c r="H293" s="37"/>
      <c r="I293" s="38"/>
      <c r="J293" s="37"/>
      <c r="K293" s="37"/>
      <c r="L293" s="38"/>
    </row>
    <row r="294" spans="6:12" s="36" customFormat="1" x14ac:dyDescent="0.25">
      <c r="F294" s="52"/>
      <c r="G294" s="37"/>
      <c r="H294" s="37"/>
      <c r="I294" s="38"/>
      <c r="J294" s="37"/>
      <c r="K294" s="37"/>
      <c r="L294" s="38"/>
    </row>
    <row r="295" spans="6:12" s="36" customFormat="1" x14ac:dyDescent="0.25">
      <c r="F295" s="52"/>
      <c r="G295" s="37"/>
      <c r="H295" s="37"/>
      <c r="I295" s="38"/>
      <c r="J295" s="37"/>
      <c r="K295" s="37"/>
      <c r="L295" s="38"/>
    </row>
    <row r="296" spans="6:12" s="36" customFormat="1" x14ac:dyDescent="0.25">
      <c r="F296" s="52"/>
      <c r="G296" s="37"/>
      <c r="H296" s="37"/>
      <c r="I296" s="38"/>
      <c r="J296" s="37"/>
      <c r="K296" s="37"/>
      <c r="L296" s="38"/>
    </row>
    <row r="297" spans="6:12" s="36" customFormat="1" x14ac:dyDescent="0.25">
      <c r="F297" s="52"/>
      <c r="G297" s="37"/>
      <c r="H297" s="37"/>
      <c r="I297" s="38"/>
      <c r="J297" s="37"/>
      <c r="K297" s="37"/>
      <c r="L297" s="38"/>
    </row>
    <row r="298" spans="6:12" s="36" customFormat="1" x14ac:dyDescent="0.25">
      <c r="F298" s="52"/>
      <c r="G298" s="37"/>
      <c r="H298" s="37"/>
      <c r="I298" s="38"/>
      <c r="J298" s="37"/>
      <c r="K298" s="37"/>
      <c r="L298" s="38"/>
    </row>
    <row r="299" spans="6:12" s="36" customFormat="1" x14ac:dyDescent="0.25">
      <c r="F299" s="52"/>
      <c r="G299" s="37"/>
      <c r="H299" s="37"/>
      <c r="I299" s="38"/>
      <c r="J299" s="37"/>
      <c r="K299" s="37"/>
      <c r="L299" s="38"/>
    </row>
    <row r="300" spans="6:12" s="36" customFormat="1" x14ac:dyDescent="0.25">
      <c r="F300" s="52"/>
      <c r="G300" s="37"/>
      <c r="H300" s="37"/>
      <c r="I300" s="38"/>
      <c r="J300" s="37"/>
      <c r="K300" s="37"/>
      <c r="L300" s="38"/>
    </row>
    <row r="301" spans="6:12" s="36" customFormat="1" x14ac:dyDescent="0.25">
      <c r="F301" s="52"/>
      <c r="G301" s="37"/>
      <c r="H301" s="37"/>
      <c r="I301" s="38"/>
      <c r="J301" s="37"/>
      <c r="K301" s="37"/>
      <c r="L301" s="38"/>
    </row>
    <row r="302" spans="6:12" s="36" customFormat="1" x14ac:dyDescent="0.25">
      <c r="F302" s="52"/>
      <c r="G302" s="37"/>
      <c r="H302" s="37"/>
      <c r="I302" s="38"/>
      <c r="J302" s="37"/>
      <c r="K302" s="37"/>
      <c r="L302" s="38"/>
    </row>
    <row r="303" spans="6:12" s="36" customFormat="1" x14ac:dyDescent="0.25">
      <c r="F303" s="52"/>
      <c r="G303" s="37"/>
      <c r="H303" s="37"/>
      <c r="I303" s="38"/>
      <c r="J303" s="37"/>
      <c r="K303" s="37"/>
      <c r="L303" s="38"/>
    </row>
    <row r="304" spans="6:12" s="36" customFormat="1" x14ac:dyDescent="0.25">
      <c r="F304" s="52"/>
      <c r="G304" s="37"/>
      <c r="H304" s="37"/>
      <c r="I304" s="38"/>
      <c r="J304" s="37"/>
      <c r="K304" s="37"/>
      <c r="L304" s="38"/>
    </row>
    <row r="305" spans="6:12" s="36" customFormat="1" x14ac:dyDescent="0.25">
      <c r="F305" s="52"/>
      <c r="G305" s="37"/>
      <c r="H305" s="37"/>
      <c r="I305" s="38"/>
      <c r="J305" s="37"/>
      <c r="K305" s="37"/>
      <c r="L305" s="38"/>
    </row>
    <row r="306" spans="6:12" s="36" customFormat="1" x14ac:dyDescent="0.25">
      <c r="F306" s="52"/>
      <c r="G306" s="37"/>
      <c r="H306" s="37"/>
      <c r="I306" s="38"/>
      <c r="J306" s="37"/>
      <c r="K306" s="37"/>
      <c r="L306" s="38"/>
    </row>
    <row r="307" spans="6:12" s="36" customFormat="1" x14ac:dyDescent="0.25">
      <c r="F307" s="52"/>
      <c r="G307" s="37"/>
      <c r="H307" s="37"/>
      <c r="I307" s="38"/>
      <c r="J307" s="37"/>
      <c r="K307" s="37"/>
      <c r="L307" s="38"/>
    </row>
    <row r="308" spans="6:12" s="36" customFormat="1" x14ac:dyDescent="0.25">
      <c r="F308" s="52"/>
      <c r="G308" s="37"/>
      <c r="H308" s="37"/>
      <c r="I308" s="38"/>
      <c r="J308" s="37"/>
      <c r="K308" s="37"/>
      <c r="L308" s="38"/>
    </row>
    <row r="309" spans="6:12" s="36" customFormat="1" x14ac:dyDescent="0.25">
      <c r="F309" s="52"/>
      <c r="G309" s="37"/>
      <c r="H309" s="37"/>
      <c r="I309" s="38"/>
      <c r="J309" s="37"/>
      <c r="K309" s="37"/>
      <c r="L309" s="38"/>
    </row>
    <row r="310" spans="6:12" s="36" customFormat="1" x14ac:dyDescent="0.25">
      <c r="F310" s="52"/>
      <c r="G310" s="37"/>
      <c r="H310" s="37"/>
      <c r="I310" s="38"/>
      <c r="J310" s="37"/>
      <c r="K310" s="37"/>
      <c r="L310" s="38"/>
    </row>
    <row r="311" spans="6:12" s="36" customFormat="1" x14ac:dyDescent="0.25">
      <c r="F311" s="52"/>
      <c r="G311" s="37"/>
      <c r="H311" s="37"/>
      <c r="I311" s="38"/>
      <c r="J311" s="37"/>
      <c r="K311" s="37"/>
      <c r="L311" s="38"/>
    </row>
    <row r="312" spans="6:12" s="36" customFormat="1" x14ac:dyDescent="0.25">
      <c r="F312" s="52"/>
      <c r="G312" s="37"/>
      <c r="H312" s="37"/>
      <c r="I312" s="38"/>
      <c r="J312" s="37"/>
      <c r="K312" s="37"/>
      <c r="L312" s="38"/>
    </row>
    <row r="313" spans="6:12" s="36" customFormat="1" x14ac:dyDescent="0.25">
      <c r="F313" s="52"/>
      <c r="G313" s="37"/>
      <c r="H313" s="37"/>
      <c r="I313" s="38"/>
      <c r="J313" s="37"/>
      <c r="K313" s="37"/>
      <c r="L313" s="38"/>
    </row>
    <row r="314" spans="6:12" s="36" customFormat="1" x14ac:dyDescent="0.25">
      <c r="F314" s="52"/>
      <c r="G314" s="37"/>
      <c r="H314" s="37"/>
      <c r="I314" s="38"/>
      <c r="J314" s="37"/>
      <c r="K314" s="37"/>
      <c r="L314" s="38"/>
    </row>
    <row r="315" spans="6:12" s="36" customFormat="1" x14ac:dyDescent="0.25">
      <c r="F315" s="52"/>
      <c r="G315" s="37"/>
      <c r="H315" s="37"/>
      <c r="I315" s="38"/>
      <c r="J315" s="37"/>
      <c r="K315" s="37"/>
      <c r="L315" s="38"/>
    </row>
    <row r="316" spans="6:12" s="36" customFormat="1" x14ac:dyDescent="0.25">
      <c r="F316" s="52"/>
      <c r="G316" s="37"/>
      <c r="H316" s="37"/>
      <c r="I316" s="38"/>
      <c r="J316" s="37"/>
      <c r="K316" s="37"/>
      <c r="L316" s="38"/>
    </row>
    <row r="317" spans="6:12" s="36" customFormat="1" x14ac:dyDescent="0.25">
      <c r="F317" s="52"/>
      <c r="G317" s="37"/>
      <c r="H317" s="37"/>
      <c r="I317" s="38"/>
      <c r="J317" s="37"/>
      <c r="K317" s="37"/>
      <c r="L317" s="38"/>
    </row>
    <row r="318" spans="6:12" s="36" customFormat="1" x14ac:dyDescent="0.25">
      <c r="F318" s="52"/>
      <c r="G318" s="37"/>
      <c r="H318" s="37"/>
      <c r="I318" s="38"/>
      <c r="J318" s="37"/>
      <c r="K318" s="37"/>
      <c r="L318" s="38"/>
    </row>
    <row r="319" spans="6:12" s="36" customFormat="1" x14ac:dyDescent="0.25">
      <c r="F319" s="52"/>
      <c r="G319" s="37"/>
      <c r="H319" s="37"/>
      <c r="I319" s="38"/>
      <c r="J319" s="37"/>
      <c r="K319" s="37"/>
      <c r="L319" s="38"/>
    </row>
    <row r="320" spans="6:12" s="36" customFormat="1" x14ac:dyDescent="0.25">
      <c r="F320" s="52"/>
      <c r="G320" s="37"/>
      <c r="H320" s="37"/>
      <c r="I320" s="38"/>
      <c r="J320" s="37"/>
      <c r="K320" s="37"/>
      <c r="L320" s="38"/>
    </row>
    <row r="321" spans="6:12" s="36" customFormat="1" x14ac:dyDescent="0.25">
      <c r="F321" s="52"/>
      <c r="G321" s="37"/>
      <c r="H321" s="37"/>
      <c r="I321" s="38"/>
      <c r="J321" s="37"/>
      <c r="K321" s="37"/>
      <c r="L321" s="38"/>
    </row>
    <row r="322" spans="6:12" s="36" customFormat="1" x14ac:dyDescent="0.25">
      <c r="F322" s="52"/>
      <c r="G322" s="37"/>
      <c r="H322" s="37"/>
      <c r="I322" s="38"/>
      <c r="J322" s="37"/>
      <c r="K322" s="37"/>
      <c r="L322" s="38"/>
    </row>
    <row r="323" spans="6:12" s="36" customFormat="1" x14ac:dyDescent="0.25">
      <c r="F323" s="52"/>
      <c r="G323" s="37"/>
      <c r="H323" s="37"/>
      <c r="I323" s="38"/>
      <c r="J323" s="37"/>
      <c r="K323" s="37"/>
      <c r="L323" s="38"/>
    </row>
    <row r="324" spans="6:12" s="36" customFormat="1" x14ac:dyDescent="0.25">
      <c r="F324" s="52"/>
      <c r="G324" s="37"/>
      <c r="H324" s="37"/>
      <c r="I324" s="38"/>
      <c r="J324" s="37"/>
      <c r="K324" s="37"/>
      <c r="L324" s="38"/>
    </row>
    <row r="325" spans="6:12" s="36" customFormat="1" x14ac:dyDescent="0.25">
      <c r="F325" s="52"/>
      <c r="G325" s="37"/>
      <c r="H325" s="37"/>
      <c r="I325" s="38"/>
      <c r="J325" s="37"/>
      <c r="K325" s="37"/>
      <c r="L325" s="38"/>
    </row>
    <row r="326" spans="6:12" s="36" customFormat="1" x14ac:dyDescent="0.25">
      <c r="F326" s="52"/>
      <c r="G326" s="37"/>
      <c r="H326" s="37"/>
      <c r="I326" s="38"/>
      <c r="J326" s="37"/>
      <c r="K326" s="37"/>
      <c r="L326" s="38"/>
    </row>
    <row r="327" spans="6:12" s="36" customFormat="1" x14ac:dyDescent="0.25">
      <c r="F327" s="52"/>
      <c r="G327" s="37"/>
      <c r="H327" s="37"/>
      <c r="I327" s="38"/>
      <c r="J327" s="37"/>
      <c r="K327" s="37"/>
      <c r="L327" s="38"/>
    </row>
    <row r="328" spans="6:12" s="36" customFormat="1" x14ac:dyDescent="0.25">
      <c r="F328" s="52"/>
      <c r="G328" s="37"/>
      <c r="H328" s="37"/>
      <c r="I328" s="38"/>
      <c r="J328" s="37"/>
      <c r="K328" s="37"/>
      <c r="L328" s="38"/>
    </row>
    <row r="329" spans="6:12" s="36" customFormat="1" x14ac:dyDescent="0.25">
      <c r="F329" s="52"/>
      <c r="G329" s="37"/>
      <c r="H329" s="37"/>
      <c r="I329" s="38"/>
      <c r="J329" s="37"/>
      <c r="K329" s="37"/>
      <c r="L329" s="38"/>
    </row>
    <row r="330" spans="6:12" s="36" customFormat="1" x14ac:dyDescent="0.25">
      <c r="F330" s="52"/>
      <c r="G330" s="37"/>
      <c r="H330" s="37"/>
      <c r="I330" s="38"/>
      <c r="J330" s="37"/>
      <c r="K330" s="37"/>
      <c r="L330" s="38"/>
    </row>
    <row r="331" spans="6:12" s="36" customFormat="1" x14ac:dyDescent="0.25">
      <c r="F331" s="52"/>
      <c r="G331" s="37"/>
      <c r="H331" s="37"/>
      <c r="I331" s="38"/>
      <c r="J331" s="37"/>
      <c r="K331" s="37"/>
      <c r="L331" s="38"/>
    </row>
    <row r="332" spans="6:12" s="36" customFormat="1" x14ac:dyDescent="0.25">
      <c r="F332" s="52"/>
      <c r="G332" s="37"/>
      <c r="H332" s="37"/>
      <c r="I332" s="38"/>
      <c r="J332" s="37"/>
      <c r="K332" s="37"/>
      <c r="L332" s="38"/>
    </row>
    <row r="333" spans="6:12" s="36" customFormat="1" x14ac:dyDescent="0.25">
      <c r="F333" s="52"/>
      <c r="G333" s="37"/>
      <c r="H333" s="37"/>
      <c r="I333" s="38"/>
      <c r="J333" s="37"/>
      <c r="K333" s="37"/>
      <c r="L333" s="38"/>
    </row>
    <row r="334" spans="6:12" s="36" customFormat="1" x14ac:dyDescent="0.25">
      <c r="F334" s="52"/>
      <c r="G334" s="37"/>
      <c r="H334" s="37"/>
      <c r="I334" s="38"/>
      <c r="J334" s="37"/>
      <c r="K334" s="37"/>
      <c r="L334" s="38"/>
    </row>
    <row r="335" spans="6:12" s="36" customFormat="1" x14ac:dyDescent="0.25">
      <c r="F335" s="52"/>
      <c r="G335" s="37"/>
      <c r="H335" s="37"/>
      <c r="I335" s="38"/>
      <c r="J335" s="37"/>
      <c r="K335" s="37"/>
      <c r="L335" s="38"/>
    </row>
    <row r="336" spans="6:12" s="36" customFormat="1" x14ac:dyDescent="0.25">
      <c r="F336" s="52"/>
      <c r="G336" s="37"/>
      <c r="H336" s="37"/>
      <c r="I336" s="38"/>
      <c r="J336" s="37"/>
      <c r="K336" s="37"/>
      <c r="L336" s="38"/>
    </row>
    <row r="337" spans="6:12" s="36" customFormat="1" x14ac:dyDescent="0.25">
      <c r="F337" s="52"/>
      <c r="G337" s="37"/>
      <c r="H337" s="37"/>
      <c r="I337" s="38"/>
      <c r="J337" s="37"/>
      <c r="K337" s="37"/>
      <c r="L337" s="38"/>
    </row>
    <row r="338" spans="6:12" s="36" customFormat="1" x14ac:dyDescent="0.25">
      <c r="F338" s="52"/>
      <c r="G338" s="37"/>
      <c r="H338" s="37"/>
      <c r="I338" s="38"/>
      <c r="J338" s="37"/>
      <c r="K338" s="37"/>
      <c r="L338" s="38"/>
    </row>
    <row r="339" spans="6:12" s="36" customFormat="1" x14ac:dyDescent="0.25">
      <c r="F339" s="52"/>
      <c r="G339" s="37"/>
      <c r="H339" s="37"/>
      <c r="I339" s="38"/>
      <c r="J339" s="37"/>
      <c r="K339" s="37"/>
      <c r="L339" s="38"/>
    </row>
    <row r="340" spans="6:12" s="36" customFormat="1" x14ac:dyDescent="0.25">
      <c r="F340" s="52"/>
      <c r="G340" s="37"/>
      <c r="H340" s="37"/>
      <c r="I340" s="38"/>
      <c r="J340" s="37"/>
      <c r="K340" s="37"/>
      <c r="L340" s="38"/>
    </row>
    <row r="341" spans="6:12" s="36" customFormat="1" x14ac:dyDescent="0.25">
      <c r="F341" s="52"/>
      <c r="G341" s="37"/>
      <c r="H341" s="37"/>
      <c r="I341" s="38"/>
      <c r="J341" s="37"/>
      <c r="K341" s="37"/>
      <c r="L341" s="38"/>
    </row>
    <row r="342" spans="6:12" s="36" customFormat="1" x14ac:dyDescent="0.25">
      <c r="F342" s="52"/>
      <c r="G342" s="37"/>
      <c r="H342" s="37"/>
      <c r="I342" s="38"/>
      <c r="J342" s="37"/>
      <c r="K342" s="37"/>
      <c r="L342" s="38"/>
    </row>
    <row r="343" spans="6:12" s="36" customFormat="1" x14ac:dyDescent="0.25">
      <c r="F343" s="52"/>
      <c r="G343" s="37"/>
      <c r="H343" s="37"/>
      <c r="I343" s="38"/>
      <c r="J343" s="37"/>
      <c r="K343" s="37"/>
      <c r="L343" s="38"/>
    </row>
    <row r="344" spans="6:12" s="36" customFormat="1" x14ac:dyDescent="0.25">
      <c r="F344" s="52"/>
      <c r="G344" s="37"/>
      <c r="H344" s="37"/>
      <c r="I344" s="38"/>
      <c r="J344" s="37"/>
      <c r="K344" s="37"/>
      <c r="L344" s="38"/>
    </row>
    <row r="345" spans="6:12" s="36" customFormat="1" x14ac:dyDescent="0.25">
      <c r="F345" s="52"/>
      <c r="G345" s="37"/>
      <c r="H345" s="37"/>
      <c r="I345" s="38"/>
      <c r="J345" s="37"/>
      <c r="K345" s="37"/>
      <c r="L345" s="38"/>
    </row>
    <row r="346" spans="6:12" s="36" customFormat="1" x14ac:dyDescent="0.25">
      <c r="F346" s="52"/>
      <c r="G346" s="37"/>
      <c r="H346" s="37"/>
      <c r="I346" s="38"/>
      <c r="J346" s="37"/>
      <c r="K346" s="37"/>
      <c r="L346" s="38"/>
    </row>
    <row r="347" spans="6:12" s="36" customFormat="1" x14ac:dyDescent="0.25">
      <c r="F347" s="52"/>
      <c r="G347" s="37"/>
      <c r="H347" s="37"/>
      <c r="I347" s="38"/>
      <c r="J347" s="37"/>
      <c r="K347" s="37"/>
      <c r="L347" s="38"/>
    </row>
    <row r="348" spans="6:12" s="36" customFormat="1" x14ac:dyDescent="0.25">
      <c r="F348" s="52"/>
      <c r="G348" s="37"/>
      <c r="H348" s="37"/>
      <c r="I348" s="38"/>
      <c r="J348" s="37"/>
      <c r="K348" s="37"/>
      <c r="L348" s="38"/>
    </row>
    <row r="349" spans="6:12" s="36" customFormat="1" x14ac:dyDescent="0.25">
      <c r="F349" s="52"/>
      <c r="G349" s="37"/>
      <c r="H349" s="37"/>
      <c r="I349" s="38"/>
      <c r="J349" s="37"/>
      <c r="K349" s="37"/>
      <c r="L349" s="38"/>
    </row>
    <row r="350" spans="6:12" s="36" customFormat="1" x14ac:dyDescent="0.25">
      <c r="F350" s="52"/>
      <c r="G350" s="37"/>
      <c r="H350" s="37"/>
      <c r="I350" s="38"/>
      <c r="J350" s="37"/>
      <c r="K350" s="37"/>
      <c r="L350" s="38"/>
    </row>
    <row r="351" spans="6:12" s="36" customFormat="1" x14ac:dyDescent="0.25">
      <c r="F351" s="52"/>
      <c r="G351" s="37"/>
      <c r="H351" s="37"/>
      <c r="I351" s="38"/>
      <c r="J351" s="37"/>
      <c r="K351" s="37"/>
      <c r="L351" s="38"/>
    </row>
    <row r="352" spans="6:12" s="36" customFormat="1" x14ac:dyDescent="0.25">
      <c r="F352" s="52"/>
      <c r="G352" s="37"/>
      <c r="H352" s="37"/>
      <c r="I352" s="38"/>
      <c r="J352" s="37"/>
      <c r="K352" s="37"/>
      <c r="L352" s="38"/>
    </row>
    <row r="353" spans="6:12" s="36" customFormat="1" x14ac:dyDescent="0.25">
      <c r="F353" s="52"/>
      <c r="G353" s="37"/>
      <c r="H353" s="37"/>
      <c r="I353" s="38"/>
      <c r="J353" s="37"/>
      <c r="K353" s="37"/>
      <c r="L353" s="38"/>
    </row>
    <row r="354" spans="6:12" s="36" customFormat="1" x14ac:dyDescent="0.25">
      <c r="F354" s="52"/>
      <c r="G354" s="37"/>
      <c r="H354" s="37"/>
      <c r="I354" s="38"/>
      <c r="J354" s="37"/>
      <c r="K354" s="37"/>
      <c r="L354" s="38"/>
    </row>
    <row r="355" spans="6:12" s="36" customFormat="1" x14ac:dyDescent="0.25">
      <c r="F355" s="52"/>
      <c r="G355" s="37"/>
      <c r="H355" s="37"/>
      <c r="I355" s="38"/>
      <c r="J355" s="37"/>
      <c r="K355" s="37"/>
      <c r="L355" s="38"/>
    </row>
    <row r="356" spans="6:12" s="36" customFormat="1" x14ac:dyDescent="0.25">
      <c r="F356" s="52"/>
      <c r="G356" s="37"/>
      <c r="H356" s="37"/>
      <c r="I356" s="38"/>
      <c r="J356" s="37"/>
      <c r="K356" s="37"/>
      <c r="L356" s="38"/>
    </row>
    <row r="357" spans="6:12" s="36" customFormat="1" x14ac:dyDescent="0.25">
      <c r="F357" s="52"/>
      <c r="G357" s="37"/>
      <c r="H357" s="37"/>
      <c r="I357" s="38"/>
      <c r="J357" s="37"/>
      <c r="K357" s="37"/>
      <c r="L357" s="38"/>
    </row>
    <row r="358" spans="6:12" s="36" customFormat="1" x14ac:dyDescent="0.25">
      <c r="F358" s="52"/>
      <c r="G358" s="37"/>
      <c r="H358" s="37"/>
      <c r="I358" s="38"/>
      <c r="J358" s="37"/>
      <c r="K358" s="37"/>
      <c r="L358" s="38"/>
    </row>
    <row r="359" spans="6:12" s="36" customFormat="1" x14ac:dyDescent="0.25">
      <c r="F359" s="52"/>
      <c r="G359" s="37"/>
      <c r="H359" s="37"/>
      <c r="I359" s="38"/>
      <c r="J359" s="37"/>
      <c r="K359" s="37"/>
      <c r="L359" s="38"/>
    </row>
    <row r="360" spans="6:12" s="36" customFormat="1" x14ac:dyDescent="0.25">
      <c r="F360" s="52"/>
      <c r="G360" s="37"/>
      <c r="H360" s="37"/>
      <c r="I360" s="38"/>
      <c r="J360" s="37"/>
      <c r="K360" s="37"/>
      <c r="L360" s="38"/>
    </row>
    <row r="361" spans="6:12" s="36" customFormat="1" x14ac:dyDescent="0.25">
      <c r="F361" s="52"/>
      <c r="G361" s="37"/>
      <c r="H361" s="37"/>
      <c r="I361" s="38"/>
      <c r="J361" s="37"/>
      <c r="K361" s="37"/>
      <c r="L361" s="38"/>
    </row>
    <row r="362" spans="6:12" s="36" customFormat="1" x14ac:dyDescent="0.25">
      <c r="F362" s="52"/>
      <c r="G362" s="37"/>
      <c r="H362" s="37"/>
      <c r="I362" s="38"/>
      <c r="J362" s="37"/>
      <c r="K362" s="37"/>
      <c r="L362" s="38"/>
    </row>
    <row r="363" spans="6:12" s="36" customFormat="1" x14ac:dyDescent="0.25">
      <c r="F363" s="52"/>
      <c r="G363" s="37"/>
      <c r="H363" s="37"/>
      <c r="I363" s="38"/>
      <c r="J363" s="37"/>
      <c r="K363" s="37"/>
      <c r="L363" s="38"/>
    </row>
    <row r="364" spans="6:12" s="36" customFormat="1" x14ac:dyDescent="0.25">
      <c r="F364" s="52"/>
      <c r="G364" s="37"/>
      <c r="H364" s="37"/>
      <c r="I364" s="38"/>
      <c r="J364" s="37"/>
      <c r="K364" s="37"/>
      <c r="L364" s="38"/>
    </row>
    <row r="365" spans="6:12" s="36" customFormat="1" x14ac:dyDescent="0.25">
      <c r="F365" s="52"/>
      <c r="G365" s="37"/>
      <c r="H365" s="37"/>
      <c r="I365" s="38"/>
      <c r="J365" s="37"/>
      <c r="K365" s="37"/>
      <c r="L365" s="38"/>
    </row>
    <row r="366" spans="6:12" s="36" customFormat="1" x14ac:dyDescent="0.25">
      <c r="F366" s="52"/>
      <c r="G366" s="37"/>
      <c r="H366" s="37"/>
      <c r="I366" s="38"/>
      <c r="J366" s="37"/>
      <c r="K366" s="37"/>
      <c r="L366" s="38"/>
    </row>
    <row r="367" spans="6:12" s="36" customFormat="1" x14ac:dyDescent="0.25">
      <c r="F367" s="52"/>
      <c r="G367" s="37"/>
      <c r="H367" s="37"/>
      <c r="I367" s="38"/>
      <c r="J367" s="37"/>
      <c r="K367" s="37"/>
      <c r="L367" s="38"/>
    </row>
    <row r="368" spans="6:12" s="36" customFormat="1" x14ac:dyDescent="0.25">
      <c r="F368" s="52"/>
      <c r="G368" s="37"/>
      <c r="H368" s="37"/>
      <c r="I368" s="38"/>
      <c r="J368" s="37"/>
      <c r="K368" s="37"/>
      <c r="L368" s="38"/>
    </row>
    <row r="369" spans="6:12" s="36" customFormat="1" x14ac:dyDescent="0.25">
      <c r="F369" s="52"/>
      <c r="G369" s="37"/>
      <c r="H369" s="37"/>
      <c r="I369" s="38"/>
      <c r="J369" s="37"/>
      <c r="K369" s="37"/>
      <c r="L369" s="38"/>
    </row>
    <row r="370" spans="6:12" s="36" customFormat="1" x14ac:dyDescent="0.25">
      <c r="F370" s="52"/>
      <c r="G370" s="37"/>
      <c r="H370" s="37"/>
      <c r="I370" s="38"/>
      <c r="J370" s="37"/>
      <c r="K370" s="37"/>
      <c r="L370" s="38"/>
    </row>
    <row r="371" spans="6:12" s="36" customFormat="1" x14ac:dyDescent="0.25">
      <c r="F371" s="52"/>
      <c r="G371" s="37"/>
      <c r="H371" s="37"/>
      <c r="I371" s="38"/>
      <c r="J371" s="37"/>
      <c r="K371" s="37"/>
      <c r="L371" s="38"/>
    </row>
    <row r="372" spans="6:12" s="36" customFormat="1" x14ac:dyDescent="0.25">
      <c r="F372" s="52"/>
      <c r="G372" s="37"/>
      <c r="H372" s="37"/>
      <c r="I372" s="38"/>
      <c r="J372" s="37"/>
      <c r="K372" s="37"/>
      <c r="L372" s="38"/>
    </row>
    <row r="373" spans="6:12" s="36" customFormat="1" x14ac:dyDescent="0.25">
      <c r="F373" s="52"/>
      <c r="G373" s="37"/>
      <c r="H373" s="37"/>
      <c r="I373" s="38"/>
      <c r="J373" s="37"/>
      <c r="K373" s="37"/>
      <c r="L373" s="38"/>
    </row>
    <row r="374" spans="6:12" s="36" customFormat="1" x14ac:dyDescent="0.25">
      <c r="F374" s="52"/>
      <c r="G374" s="37"/>
      <c r="H374" s="37"/>
      <c r="I374" s="38"/>
      <c r="J374" s="37"/>
      <c r="K374" s="37"/>
      <c r="L374" s="38"/>
    </row>
    <row r="375" spans="6:12" s="36" customFormat="1" x14ac:dyDescent="0.25">
      <c r="F375" s="52"/>
      <c r="G375" s="37"/>
      <c r="H375" s="37"/>
      <c r="I375" s="38"/>
      <c r="J375" s="37"/>
      <c r="K375" s="37"/>
      <c r="L375" s="38"/>
    </row>
    <row r="376" spans="6:12" s="36" customFormat="1" x14ac:dyDescent="0.25">
      <c r="F376" s="52"/>
      <c r="G376" s="37"/>
      <c r="H376" s="37"/>
      <c r="I376" s="38"/>
      <c r="J376" s="37"/>
      <c r="K376" s="37"/>
      <c r="L376" s="38"/>
    </row>
    <row r="377" spans="6:12" s="36" customFormat="1" x14ac:dyDescent="0.25">
      <c r="F377" s="52"/>
      <c r="G377" s="37"/>
      <c r="H377" s="37"/>
      <c r="I377" s="38"/>
      <c r="J377" s="37"/>
      <c r="K377" s="37"/>
      <c r="L377" s="38"/>
    </row>
    <row r="378" spans="6:12" s="36" customFormat="1" x14ac:dyDescent="0.25">
      <c r="F378" s="52"/>
      <c r="G378" s="37"/>
      <c r="H378" s="37"/>
      <c r="I378" s="38"/>
      <c r="J378" s="37"/>
      <c r="K378" s="37"/>
      <c r="L378" s="38"/>
    </row>
    <row r="379" spans="6:12" s="36" customFormat="1" x14ac:dyDescent="0.25">
      <c r="F379" s="52"/>
      <c r="G379" s="37"/>
      <c r="H379" s="37"/>
      <c r="I379" s="38"/>
      <c r="J379" s="37"/>
      <c r="K379" s="37"/>
      <c r="L379" s="38"/>
    </row>
    <row r="380" spans="6:12" s="36" customFormat="1" x14ac:dyDescent="0.25">
      <c r="F380" s="52"/>
      <c r="G380" s="37"/>
      <c r="H380" s="37"/>
      <c r="I380" s="38"/>
      <c r="J380" s="37"/>
      <c r="K380" s="37"/>
      <c r="L380" s="38"/>
    </row>
    <row r="381" spans="6:12" s="36" customFormat="1" x14ac:dyDescent="0.25">
      <c r="F381" s="52"/>
      <c r="G381" s="37"/>
      <c r="H381" s="37"/>
      <c r="I381" s="38"/>
      <c r="J381" s="37"/>
      <c r="K381" s="37"/>
      <c r="L381" s="38"/>
    </row>
    <row r="382" spans="6:12" s="36" customFormat="1" x14ac:dyDescent="0.25">
      <c r="F382" s="52"/>
      <c r="G382" s="37"/>
      <c r="H382" s="37"/>
      <c r="I382" s="38"/>
      <c r="J382" s="37"/>
      <c r="K382" s="37"/>
      <c r="L382" s="38"/>
    </row>
    <row r="383" spans="6:12" s="36" customFormat="1" x14ac:dyDescent="0.25">
      <c r="F383" s="52"/>
      <c r="G383" s="37"/>
      <c r="H383" s="37"/>
      <c r="I383" s="38"/>
      <c r="J383" s="37"/>
      <c r="K383" s="37"/>
      <c r="L383" s="38"/>
    </row>
    <row r="384" spans="6:12" s="36" customFormat="1" x14ac:dyDescent="0.25">
      <c r="F384" s="52"/>
      <c r="G384" s="37"/>
      <c r="H384" s="37"/>
      <c r="I384" s="38"/>
      <c r="J384" s="37"/>
      <c r="K384" s="37"/>
      <c r="L384" s="38"/>
    </row>
    <row r="385" spans="6:12" s="36" customFormat="1" x14ac:dyDescent="0.25">
      <c r="F385" s="52"/>
      <c r="G385" s="37"/>
      <c r="H385" s="37"/>
      <c r="I385" s="38"/>
      <c r="J385" s="37"/>
      <c r="K385" s="37"/>
      <c r="L385" s="38"/>
    </row>
    <row r="386" spans="6:12" s="36" customFormat="1" x14ac:dyDescent="0.25">
      <c r="F386" s="52"/>
      <c r="G386" s="37"/>
      <c r="H386" s="37"/>
      <c r="I386" s="38"/>
      <c r="J386" s="37"/>
      <c r="K386" s="37"/>
      <c r="L386" s="38"/>
    </row>
    <row r="387" spans="6:12" s="36" customFormat="1" x14ac:dyDescent="0.25">
      <c r="F387" s="52"/>
      <c r="G387" s="37"/>
      <c r="H387" s="37"/>
      <c r="I387" s="38"/>
      <c r="J387" s="37"/>
      <c r="K387" s="37"/>
      <c r="L387" s="38"/>
    </row>
    <row r="388" spans="6:12" s="36" customFormat="1" x14ac:dyDescent="0.25">
      <c r="F388" s="52"/>
      <c r="G388" s="37"/>
      <c r="H388" s="37"/>
      <c r="I388" s="38"/>
      <c r="J388" s="37"/>
      <c r="K388" s="37"/>
      <c r="L388" s="38"/>
    </row>
    <row r="389" spans="6:12" s="36" customFormat="1" x14ac:dyDescent="0.25">
      <c r="F389" s="52"/>
      <c r="G389" s="37"/>
      <c r="H389" s="37"/>
      <c r="I389" s="38"/>
      <c r="J389" s="37"/>
      <c r="K389" s="37"/>
      <c r="L389" s="38"/>
    </row>
    <row r="390" spans="6:12" s="36" customFormat="1" x14ac:dyDescent="0.25">
      <c r="F390" s="52"/>
      <c r="G390" s="37"/>
      <c r="H390" s="37"/>
      <c r="I390" s="38"/>
      <c r="J390" s="37"/>
      <c r="K390" s="37"/>
      <c r="L390" s="38"/>
    </row>
    <row r="391" spans="6:12" s="36" customFormat="1" x14ac:dyDescent="0.25">
      <c r="F391" s="52"/>
      <c r="G391" s="37"/>
      <c r="H391" s="37"/>
      <c r="I391" s="38"/>
      <c r="J391" s="37"/>
      <c r="K391" s="37"/>
      <c r="L391" s="38"/>
    </row>
    <row r="392" spans="6:12" s="36" customFormat="1" x14ac:dyDescent="0.25">
      <c r="F392" s="52"/>
      <c r="G392" s="37"/>
      <c r="H392" s="37"/>
      <c r="I392" s="38"/>
      <c r="J392" s="37"/>
      <c r="K392" s="37"/>
      <c r="L392" s="38"/>
    </row>
    <row r="393" spans="6:12" s="36" customFormat="1" x14ac:dyDescent="0.25">
      <c r="F393" s="52"/>
      <c r="G393" s="37"/>
      <c r="H393" s="37"/>
      <c r="I393" s="38"/>
      <c r="J393" s="37"/>
      <c r="K393" s="37"/>
      <c r="L393" s="38"/>
    </row>
    <row r="394" spans="6:12" s="36" customFormat="1" x14ac:dyDescent="0.25">
      <c r="F394" s="52"/>
      <c r="G394" s="37"/>
      <c r="H394" s="37"/>
      <c r="I394" s="38"/>
      <c r="J394" s="37"/>
      <c r="K394" s="37"/>
      <c r="L394" s="38"/>
    </row>
    <row r="395" spans="6:12" s="36" customFormat="1" x14ac:dyDescent="0.25">
      <c r="F395" s="52"/>
      <c r="G395" s="37"/>
      <c r="H395" s="37"/>
      <c r="I395" s="38"/>
      <c r="J395" s="37"/>
      <c r="K395" s="37"/>
      <c r="L395" s="38"/>
    </row>
    <row r="396" spans="6:12" s="36" customFormat="1" x14ac:dyDescent="0.25">
      <c r="F396" s="52"/>
      <c r="G396" s="37"/>
      <c r="H396" s="37"/>
      <c r="I396" s="38"/>
      <c r="J396" s="37"/>
      <c r="K396" s="37"/>
      <c r="L396" s="38"/>
    </row>
    <row r="397" spans="6:12" s="36" customFormat="1" x14ac:dyDescent="0.25">
      <c r="F397" s="52"/>
      <c r="G397" s="37"/>
      <c r="H397" s="37"/>
      <c r="I397" s="38"/>
      <c r="J397" s="37"/>
      <c r="K397" s="37"/>
      <c r="L397" s="38"/>
    </row>
    <row r="398" spans="6:12" s="36" customFormat="1" x14ac:dyDescent="0.25">
      <c r="F398" s="52"/>
      <c r="G398" s="37"/>
      <c r="H398" s="37"/>
      <c r="I398" s="38"/>
      <c r="J398" s="37"/>
      <c r="K398" s="37"/>
      <c r="L398" s="38"/>
    </row>
    <row r="399" spans="6:12" s="36" customFormat="1" x14ac:dyDescent="0.25">
      <c r="F399" s="52"/>
      <c r="G399" s="37"/>
      <c r="H399" s="37"/>
      <c r="I399" s="38"/>
      <c r="J399" s="37"/>
      <c r="K399" s="37"/>
      <c r="L399" s="38"/>
    </row>
    <row r="400" spans="6:12" s="36" customFormat="1" x14ac:dyDescent="0.25">
      <c r="F400" s="52"/>
      <c r="G400" s="37"/>
      <c r="H400" s="37"/>
      <c r="I400" s="38"/>
      <c r="J400" s="37"/>
      <c r="K400" s="37"/>
      <c r="L400" s="38"/>
    </row>
    <row r="401" spans="6:12" s="36" customFormat="1" x14ac:dyDescent="0.25">
      <c r="F401" s="52"/>
      <c r="G401" s="37"/>
      <c r="H401" s="37"/>
      <c r="I401" s="38"/>
      <c r="J401" s="37"/>
      <c r="K401" s="37"/>
      <c r="L401" s="38"/>
    </row>
    <row r="402" spans="6:12" s="36" customFormat="1" x14ac:dyDescent="0.25">
      <c r="F402" s="52"/>
      <c r="G402" s="37"/>
      <c r="H402" s="37"/>
      <c r="I402" s="38"/>
      <c r="J402" s="37"/>
      <c r="K402" s="37"/>
      <c r="L402" s="38"/>
    </row>
    <row r="403" spans="6:12" s="36" customFormat="1" x14ac:dyDescent="0.25">
      <c r="F403" s="52"/>
      <c r="G403" s="37"/>
      <c r="H403" s="37"/>
      <c r="I403" s="38"/>
      <c r="J403" s="37"/>
      <c r="K403" s="37"/>
      <c r="L403" s="38"/>
    </row>
    <row r="404" spans="6:12" s="36" customFormat="1" x14ac:dyDescent="0.25">
      <c r="F404" s="52"/>
      <c r="G404" s="37"/>
      <c r="H404" s="37"/>
      <c r="I404" s="38"/>
      <c r="J404" s="37"/>
      <c r="K404" s="37"/>
      <c r="L404" s="38"/>
    </row>
    <row r="405" spans="6:12" s="36" customFormat="1" x14ac:dyDescent="0.25">
      <c r="F405" s="52"/>
      <c r="G405" s="37"/>
      <c r="H405" s="37"/>
      <c r="I405" s="38"/>
      <c r="J405" s="37"/>
      <c r="K405" s="37"/>
      <c r="L405" s="38"/>
    </row>
    <row r="406" spans="6:12" s="36" customFormat="1" x14ac:dyDescent="0.25">
      <c r="F406" s="52"/>
      <c r="G406" s="37"/>
      <c r="H406" s="37"/>
      <c r="I406" s="38"/>
      <c r="J406" s="37"/>
      <c r="K406" s="37"/>
      <c r="L406" s="38"/>
    </row>
    <row r="407" spans="6:12" s="36" customFormat="1" x14ac:dyDescent="0.25">
      <c r="F407" s="52"/>
      <c r="G407" s="37"/>
      <c r="H407" s="37"/>
      <c r="I407" s="38"/>
      <c r="J407" s="37"/>
      <c r="K407" s="37"/>
      <c r="L407" s="38"/>
    </row>
    <row r="408" spans="6:12" s="36" customFormat="1" x14ac:dyDescent="0.25">
      <c r="F408" s="52"/>
      <c r="G408" s="37"/>
      <c r="H408" s="37"/>
      <c r="I408" s="38"/>
      <c r="J408" s="37"/>
      <c r="K408" s="37"/>
      <c r="L408" s="38"/>
    </row>
    <row r="409" spans="6:12" s="36" customFormat="1" x14ac:dyDescent="0.25">
      <c r="F409" s="52"/>
      <c r="G409" s="37"/>
      <c r="H409" s="37"/>
      <c r="I409" s="38"/>
      <c r="J409" s="37"/>
      <c r="K409" s="37"/>
      <c r="L409" s="38"/>
    </row>
    <row r="410" spans="6:12" s="36" customFormat="1" x14ac:dyDescent="0.25">
      <c r="F410" s="52"/>
      <c r="G410" s="37"/>
      <c r="H410" s="37"/>
      <c r="I410" s="38"/>
      <c r="J410" s="37"/>
      <c r="K410" s="37"/>
      <c r="L410" s="38"/>
    </row>
    <row r="411" spans="6:12" s="36" customFormat="1" x14ac:dyDescent="0.25">
      <c r="F411" s="52"/>
      <c r="G411" s="37"/>
      <c r="H411" s="37"/>
      <c r="I411" s="38"/>
      <c r="J411" s="37"/>
      <c r="K411" s="37"/>
      <c r="L411" s="38"/>
    </row>
    <row r="412" spans="6:12" s="36" customFormat="1" x14ac:dyDescent="0.25">
      <c r="F412" s="52"/>
      <c r="G412" s="37"/>
      <c r="H412" s="37"/>
      <c r="I412" s="38"/>
      <c r="J412" s="37"/>
      <c r="K412" s="37"/>
      <c r="L412" s="38"/>
    </row>
    <row r="413" spans="6:12" s="36" customFormat="1" x14ac:dyDescent="0.25">
      <c r="F413" s="52"/>
      <c r="G413" s="37"/>
      <c r="H413" s="37"/>
      <c r="I413" s="38"/>
      <c r="J413" s="37"/>
      <c r="K413" s="37"/>
      <c r="L413" s="38"/>
    </row>
    <row r="414" spans="6:12" s="36" customFormat="1" x14ac:dyDescent="0.25">
      <c r="F414" s="52"/>
      <c r="G414" s="37"/>
      <c r="H414" s="37"/>
      <c r="I414" s="38"/>
      <c r="J414" s="37"/>
      <c r="K414" s="37"/>
      <c r="L414" s="38"/>
    </row>
    <row r="415" spans="6:12" s="36" customFormat="1" x14ac:dyDescent="0.25">
      <c r="F415" s="52"/>
      <c r="G415" s="37"/>
      <c r="H415" s="37"/>
      <c r="I415" s="38"/>
      <c r="J415" s="37"/>
      <c r="K415" s="37"/>
      <c r="L415" s="38"/>
    </row>
    <row r="416" spans="6:12" s="36" customFormat="1" x14ac:dyDescent="0.25">
      <c r="F416" s="52"/>
      <c r="G416" s="37"/>
      <c r="H416" s="37"/>
      <c r="I416" s="38"/>
      <c r="J416" s="37"/>
      <c r="K416" s="37"/>
      <c r="L416" s="38"/>
    </row>
    <row r="417" spans="6:12" s="36" customFormat="1" x14ac:dyDescent="0.25">
      <c r="F417" s="52"/>
      <c r="G417" s="37"/>
      <c r="H417" s="37"/>
      <c r="I417" s="38"/>
      <c r="J417" s="37"/>
      <c r="K417" s="37"/>
      <c r="L417" s="38"/>
    </row>
    <row r="418" spans="6:12" s="36" customFormat="1" x14ac:dyDescent="0.25">
      <c r="F418" s="52"/>
      <c r="G418" s="37"/>
      <c r="H418" s="37"/>
      <c r="I418" s="38"/>
      <c r="J418" s="37"/>
      <c r="K418" s="37"/>
      <c r="L418" s="38"/>
    </row>
    <row r="419" spans="6:12" s="36" customFormat="1" x14ac:dyDescent="0.25">
      <c r="F419" s="52"/>
      <c r="G419" s="37"/>
      <c r="H419" s="37"/>
      <c r="I419" s="38"/>
      <c r="J419" s="37"/>
      <c r="K419" s="37"/>
      <c r="L419" s="38"/>
    </row>
    <row r="420" spans="6:12" s="36" customFormat="1" x14ac:dyDescent="0.25">
      <c r="F420" s="52"/>
      <c r="G420" s="37"/>
      <c r="H420" s="37"/>
      <c r="I420" s="38"/>
      <c r="J420" s="37"/>
      <c r="K420" s="37"/>
      <c r="L420" s="38"/>
    </row>
    <row r="421" spans="6:12" s="36" customFormat="1" x14ac:dyDescent="0.25">
      <c r="F421" s="52"/>
      <c r="G421" s="37"/>
      <c r="H421" s="37"/>
      <c r="I421" s="38"/>
      <c r="J421" s="37"/>
      <c r="K421" s="37"/>
      <c r="L421" s="38"/>
    </row>
    <row r="422" spans="6:12" s="36" customFormat="1" x14ac:dyDescent="0.25">
      <c r="F422" s="52"/>
      <c r="G422" s="37"/>
      <c r="H422" s="37"/>
      <c r="I422" s="38"/>
      <c r="J422" s="37"/>
      <c r="K422" s="37"/>
      <c r="L422" s="38"/>
    </row>
    <row r="423" spans="6:12" s="36" customFormat="1" x14ac:dyDescent="0.25">
      <c r="F423" s="52"/>
      <c r="G423" s="37"/>
      <c r="H423" s="37"/>
      <c r="I423" s="38"/>
      <c r="J423" s="37"/>
      <c r="K423" s="37"/>
      <c r="L423" s="38"/>
    </row>
    <row r="424" spans="6:12" s="36" customFormat="1" x14ac:dyDescent="0.25">
      <c r="F424" s="52"/>
      <c r="G424" s="37"/>
      <c r="H424" s="37"/>
      <c r="I424" s="38"/>
      <c r="J424" s="37"/>
      <c r="K424" s="37"/>
      <c r="L424" s="38"/>
    </row>
    <row r="425" spans="6:12" s="36" customFormat="1" x14ac:dyDescent="0.25">
      <c r="F425" s="52"/>
      <c r="G425" s="37"/>
      <c r="H425" s="37"/>
      <c r="I425" s="38"/>
      <c r="J425" s="37"/>
      <c r="K425" s="37"/>
      <c r="L425" s="38"/>
    </row>
    <row r="426" spans="6:12" s="36" customFormat="1" x14ac:dyDescent="0.25">
      <c r="F426" s="52"/>
      <c r="G426" s="37"/>
      <c r="H426" s="37"/>
      <c r="I426" s="38"/>
      <c r="J426" s="37"/>
      <c r="K426" s="37"/>
      <c r="L426" s="38"/>
    </row>
    <row r="427" spans="6:12" s="36" customFormat="1" x14ac:dyDescent="0.25">
      <c r="F427" s="52"/>
      <c r="G427" s="37"/>
      <c r="H427" s="37"/>
      <c r="I427" s="38"/>
      <c r="J427" s="37"/>
      <c r="K427" s="37"/>
      <c r="L427" s="38"/>
    </row>
    <row r="428" spans="6:12" s="36" customFormat="1" x14ac:dyDescent="0.25">
      <c r="F428" s="52"/>
      <c r="G428" s="37"/>
      <c r="H428" s="37"/>
      <c r="I428" s="38"/>
      <c r="J428" s="37"/>
      <c r="K428" s="37"/>
      <c r="L428" s="38"/>
    </row>
    <row r="429" spans="6:12" s="36" customFormat="1" x14ac:dyDescent="0.25">
      <c r="F429" s="52"/>
      <c r="G429" s="37"/>
      <c r="H429" s="37"/>
      <c r="I429" s="38"/>
      <c r="J429" s="37"/>
      <c r="K429" s="37"/>
      <c r="L429" s="38"/>
    </row>
    <row r="430" spans="6:12" s="36" customFormat="1" x14ac:dyDescent="0.25">
      <c r="F430" s="52"/>
      <c r="G430" s="37"/>
      <c r="H430" s="37"/>
      <c r="I430" s="38"/>
      <c r="J430" s="37"/>
      <c r="K430" s="37"/>
      <c r="L430" s="38"/>
    </row>
    <row r="431" spans="6:12" s="36" customFormat="1" x14ac:dyDescent="0.25">
      <c r="F431" s="52"/>
      <c r="G431" s="37"/>
      <c r="H431" s="37"/>
      <c r="I431" s="38"/>
      <c r="J431" s="37"/>
      <c r="K431" s="37"/>
      <c r="L431" s="38"/>
    </row>
    <row r="432" spans="6:12" s="36" customFormat="1" x14ac:dyDescent="0.25">
      <c r="F432" s="52"/>
      <c r="G432" s="37"/>
      <c r="H432" s="37"/>
      <c r="I432" s="38"/>
      <c r="J432" s="37"/>
      <c r="K432" s="37"/>
      <c r="L432" s="38"/>
    </row>
    <row r="433" spans="6:12" s="36" customFormat="1" x14ac:dyDescent="0.25">
      <c r="F433" s="52"/>
      <c r="G433" s="37"/>
      <c r="H433" s="37"/>
      <c r="I433" s="38"/>
      <c r="J433" s="37"/>
      <c r="K433" s="37"/>
      <c r="L433" s="38"/>
    </row>
    <row r="434" spans="6:12" s="36" customFormat="1" x14ac:dyDescent="0.25">
      <c r="F434" s="52"/>
      <c r="G434" s="37"/>
      <c r="H434" s="37"/>
      <c r="I434" s="38"/>
      <c r="J434" s="37"/>
      <c r="K434" s="37"/>
      <c r="L434" s="38"/>
    </row>
    <row r="435" spans="6:12" s="36" customFormat="1" x14ac:dyDescent="0.25">
      <c r="F435" s="52"/>
      <c r="G435" s="37"/>
      <c r="H435" s="37"/>
      <c r="I435" s="38"/>
      <c r="J435" s="37"/>
      <c r="K435" s="37"/>
      <c r="L435" s="38"/>
    </row>
    <row r="436" spans="6:12" s="36" customFormat="1" x14ac:dyDescent="0.25">
      <c r="F436" s="52"/>
      <c r="G436" s="37"/>
      <c r="H436" s="37"/>
      <c r="I436" s="38"/>
      <c r="J436" s="37"/>
      <c r="K436" s="37"/>
      <c r="L436" s="38"/>
    </row>
    <row r="437" spans="6:12" s="36" customFormat="1" x14ac:dyDescent="0.25">
      <c r="F437" s="52"/>
      <c r="G437" s="37"/>
      <c r="H437" s="37"/>
      <c r="I437" s="38"/>
      <c r="J437" s="37"/>
      <c r="K437" s="37"/>
      <c r="L437" s="38"/>
    </row>
    <row r="438" spans="6:12" s="36" customFormat="1" x14ac:dyDescent="0.25">
      <c r="F438" s="52"/>
      <c r="G438" s="37"/>
      <c r="H438" s="37"/>
      <c r="I438" s="38"/>
      <c r="J438" s="37"/>
      <c r="K438" s="37"/>
      <c r="L438" s="38"/>
    </row>
    <row r="439" spans="6:12" s="36" customFormat="1" x14ac:dyDescent="0.25">
      <c r="F439" s="52"/>
      <c r="G439" s="37"/>
      <c r="H439" s="37"/>
      <c r="I439" s="38"/>
      <c r="J439" s="37"/>
      <c r="K439" s="37"/>
      <c r="L439" s="38"/>
    </row>
    <row r="440" spans="6:12" s="36" customFormat="1" x14ac:dyDescent="0.25">
      <c r="F440" s="52"/>
      <c r="G440" s="37"/>
      <c r="H440" s="37"/>
      <c r="I440" s="38"/>
      <c r="J440" s="37"/>
      <c r="K440" s="37"/>
      <c r="L440" s="38"/>
    </row>
    <row r="441" spans="6:12" s="36" customFormat="1" x14ac:dyDescent="0.25">
      <c r="F441" s="52"/>
      <c r="G441" s="37"/>
      <c r="H441" s="37"/>
      <c r="I441" s="38"/>
      <c r="J441" s="37"/>
      <c r="K441" s="37"/>
      <c r="L441" s="38"/>
    </row>
    <row r="442" spans="6:12" s="36" customFormat="1" x14ac:dyDescent="0.25">
      <c r="F442" s="52"/>
      <c r="G442" s="37"/>
      <c r="H442" s="37"/>
      <c r="I442" s="38"/>
      <c r="J442" s="37"/>
      <c r="K442" s="37"/>
      <c r="L442" s="38"/>
    </row>
    <row r="443" spans="6:12" s="36" customFormat="1" x14ac:dyDescent="0.25">
      <c r="F443" s="52"/>
      <c r="G443" s="37"/>
      <c r="H443" s="37"/>
      <c r="I443" s="38"/>
      <c r="J443" s="37"/>
      <c r="K443" s="37"/>
      <c r="L443" s="38"/>
    </row>
    <row r="444" spans="6:12" s="36" customFormat="1" x14ac:dyDescent="0.25">
      <c r="F444" s="52"/>
      <c r="G444" s="37"/>
      <c r="H444" s="37"/>
      <c r="I444" s="38"/>
      <c r="J444" s="37"/>
      <c r="K444" s="37"/>
      <c r="L444" s="38"/>
    </row>
    <row r="445" spans="6:12" s="36" customFormat="1" x14ac:dyDescent="0.25">
      <c r="F445" s="52"/>
      <c r="G445" s="37"/>
      <c r="H445" s="37"/>
      <c r="I445" s="38"/>
      <c r="J445" s="37"/>
      <c r="K445" s="37"/>
      <c r="L445" s="38"/>
    </row>
    <row r="446" spans="6:12" s="36" customFormat="1" x14ac:dyDescent="0.25">
      <c r="F446" s="52"/>
      <c r="G446" s="37"/>
      <c r="H446" s="37"/>
      <c r="I446" s="38"/>
      <c r="J446" s="37"/>
      <c r="K446" s="37"/>
      <c r="L446" s="38"/>
    </row>
    <row r="447" spans="6:12" s="36" customFormat="1" x14ac:dyDescent="0.25">
      <c r="F447" s="52"/>
      <c r="G447" s="37"/>
      <c r="H447" s="37"/>
      <c r="I447" s="38"/>
      <c r="J447" s="37"/>
      <c r="K447" s="37"/>
      <c r="L447" s="38"/>
    </row>
    <row r="448" spans="6:12" s="36" customFormat="1" x14ac:dyDescent="0.25">
      <c r="F448" s="52"/>
      <c r="G448" s="37"/>
      <c r="H448" s="37"/>
      <c r="I448" s="38"/>
      <c r="J448" s="37"/>
      <c r="K448" s="37"/>
      <c r="L448" s="38"/>
    </row>
    <row r="449" spans="6:12" s="36" customFormat="1" x14ac:dyDescent="0.25">
      <c r="F449" s="52"/>
      <c r="G449" s="37"/>
      <c r="H449" s="37"/>
      <c r="I449" s="38"/>
      <c r="J449" s="37"/>
      <c r="K449" s="37"/>
      <c r="L449" s="38"/>
    </row>
    <row r="450" spans="6:12" s="36" customFormat="1" x14ac:dyDescent="0.25">
      <c r="F450" s="52"/>
      <c r="G450" s="37"/>
      <c r="H450" s="37"/>
      <c r="I450" s="38"/>
      <c r="J450" s="37"/>
      <c r="K450" s="37"/>
      <c r="L450" s="38"/>
    </row>
    <row r="451" spans="6:12" s="36" customFormat="1" x14ac:dyDescent="0.25">
      <c r="F451" s="52"/>
      <c r="G451" s="37"/>
      <c r="H451" s="37"/>
      <c r="I451" s="38"/>
      <c r="J451" s="37"/>
      <c r="K451" s="37"/>
      <c r="L451" s="38"/>
    </row>
    <row r="452" spans="6:12" s="36" customFormat="1" x14ac:dyDescent="0.25">
      <c r="F452" s="52"/>
      <c r="G452" s="37"/>
      <c r="H452" s="37"/>
      <c r="I452" s="38"/>
      <c r="J452" s="37"/>
      <c r="K452" s="37"/>
      <c r="L452" s="38"/>
    </row>
    <row r="453" spans="6:12" s="36" customFormat="1" x14ac:dyDescent="0.25">
      <c r="F453" s="52"/>
      <c r="G453" s="37"/>
      <c r="H453" s="37"/>
      <c r="I453" s="38"/>
      <c r="J453" s="37"/>
      <c r="K453" s="37"/>
      <c r="L453" s="38"/>
    </row>
    <row r="454" spans="6:12" s="36" customFormat="1" x14ac:dyDescent="0.25">
      <c r="F454" s="52"/>
      <c r="G454" s="37"/>
      <c r="H454" s="37"/>
      <c r="I454" s="38"/>
      <c r="J454" s="37"/>
      <c r="K454" s="37"/>
      <c r="L454" s="38"/>
    </row>
    <row r="455" spans="6:12" s="36" customFormat="1" x14ac:dyDescent="0.25">
      <c r="F455" s="52"/>
      <c r="G455" s="37"/>
      <c r="H455" s="37"/>
      <c r="I455" s="38"/>
      <c r="J455" s="37"/>
      <c r="K455" s="37"/>
      <c r="L455" s="38"/>
    </row>
    <row r="456" spans="6:12" s="36" customFormat="1" x14ac:dyDescent="0.25">
      <c r="F456" s="52"/>
      <c r="G456" s="37"/>
      <c r="H456" s="37"/>
      <c r="I456" s="38"/>
      <c r="J456" s="37"/>
      <c r="K456" s="37"/>
      <c r="L456" s="38"/>
    </row>
    <row r="457" spans="6:12" s="36" customFormat="1" x14ac:dyDescent="0.25">
      <c r="F457" s="52"/>
      <c r="G457" s="37"/>
      <c r="H457" s="37"/>
      <c r="I457" s="38"/>
      <c r="J457" s="37"/>
      <c r="K457" s="37"/>
      <c r="L457" s="38"/>
    </row>
    <row r="458" spans="6:12" s="36" customFormat="1" x14ac:dyDescent="0.25">
      <c r="F458" s="52"/>
      <c r="G458" s="37"/>
      <c r="H458" s="37"/>
      <c r="I458" s="38"/>
      <c r="J458" s="37"/>
      <c r="K458" s="37"/>
      <c r="L458" s="38"/>
    </row>
    <row r="459" spans="6:12" s="36" customFormat="1" x14ac:dyDescent="0.25">
      <c r="F459" s="52"/>
      <c r="G459" s="37"/>
      <c r="H459" s="37"/>
      <c r="I459" s="38"/>
      <c r="J459" s="37"/>
      <c r="K459" s="37"/>
      <c r="L459" s="38"/>
    </row>
    <row r="460" spans="6:12" s="36" customFormat="1" x14ac:dyDescent="0.25">
      <c r="F460" s="52"/>
      <c r="G460" s="37"/>
      <c r="H460" s="37"/>
      <c r="I460" s="38"/>
      <c r="J460" s="37"/>
      <c r="K460" s="37"/>
      <c r="L460" s="38"/>
    </row>
    <row r="461" spans="6:12" s="36" customFormat="1" x14ac:dyDescent="0.25">
      <c r="F461" s="52"/>
      <c r="G461" s="37"/>
      <c r="H461" s="37"/>
      <c r="I461" s="38"/>
      <c r="J461" s="37"/>
      <c r="K461" s="37"/>
      <c r="L461" s="38"/>
    </row>
    <row r="462" spans="6:12" s="36" customFormat="1" x14ac:dyDescent="0.25">
      <c r="F462" s="52"/>
      <c r="G462" s="37"/>
      <c r="H462" s="37"/>
      <c r="I462" s="38"/>
      <c r="J462" s="37"/>
      <c r="K462" s="37"/>
      <c r="L462" s="38"/>
    </row>
    <row r="463" spans="6:12" s="36" customFormat="1" x14ac:dyDescent="0.25">
      <c r="F463" s="52"/>
      <c r="G463" s="37"/>
      <c r="H463" s="37"/>
      <c r="I463" s="38"/>
      <c r="J463" s="37"/>
      <c r="K463" s="37"/>
      <c r="L463" s="38"/>
    </row>
    <row r="464" spans="6:12" s="36" customFormat="1" x14ac:dyDescent="0.25">
      <c r="F464" s="52"/>
      <c r="G464" s="37"/>
      <c r="H464" s="37"/>
      <c r="I464" s="38"/>
      <c r="J464" s="37"/>
      <c r="K464" s="37"/>
      <c r="L464" s="38"/>
    </row>
    <row r="465" spans="6:12" s="36" customFormat="1" x14ac:dyDescent="0.25">
      <c r="F465" s="52"/>
      <c r="G465" s="37"/>
      <c r="H465" s="37"/>
      <c r="I465" s="38"/>
      <c r="J465" s="37"/>
      <c r="K465" s="37"/>
      <c r="L465" s="38"/>
    </row>
    <row r="466" spans="6:12" s="36" customFormat="1" x14ac:dyDescent="0.25">
      <c r="F466" s="52"/>
      <c r="G466" s="37"/>
      <c r="H466" s="37"/>
      <c r="I466" s="38"/>
      <c r="J466" s="37"/>
      <c r="K466" s="37"/>
      <c r="L466" s="38"/>
    </row>
    <row r="467" spans="6:12" s="36" customFormat="1" x14ac:dyDescent="0.25">
      <c r="F467" s="52"/>
      <c r="G467" s="37"/>
      <c r="H467" s="37"/>
      <c r="I467" s="38"/>
      <c r="J467" s="37"/>
      <c r="K467" s="37"/>
      <c r="L467" s="38"/>
    </row>
    <row r="468" spans="6:12" s="36" customFormat="1" x14ac:dyDescent="0.25">
      <c r="F468" s="52"/>
      <c r="G468" s="37"/>
      <c r="H468" s="37"/>
      <c r="I468" s="38"/>
      <c r="J468" s="37"/>
      <c r="K468" s="37"/>
      <c r="L468" s="38"/>
    </row>
    <row r="469" spans="6:12" s="36" customFormat="1" x14ac:dyDescent="0.25">
      <c r="F469" s="52"/>
      <c r="G469" s="37"/>
      <c r="H469" s="37"/>
      <c r="I469" s="38"/>
      <c r="J469" s="37"/>
      <c r="K469" s="37"/>
      <c r="L469" s="38"/>
    </row>
    <row r="470" spans="6:12" s="36" customFormat="1" x14ac:dyDescent="0.25">
      <c r="F470" s="52"/>
      <c r="G470" s="37"/>
      <c r="H470" s="37"/>
      <c r="I470" s="38"/>
      <c r="J470" s="37"/>
      <c r="K470" s="37"/>
      <c r="L470" s="38"/>
    </row>
    <row r="471" spans="6:12" s="36" customFormat="1" x14ac:dyDescent="0.25">
      <c r="F471" s="52"/>
      <c r="G471" s="37"/>
      <c r="H471" s="37"/>
      <c r="I471" s="38"/>
      <c r="J471" s="37"/>
      <c r="K471" s="37"/>
      <c r="L471" s="38"/>
    </row>
    <row r="472" spans="6:12" s="36" customFormat="1" x14ac:dyDescent="0.25">
      <c r="F472" s="52"/>
      <c r="G472" s="37"/>
      <c r="H472" s="37"/>
      <c r="I472" s="38"/>
      <c r="J472" s="37"/>
      <c r="K472" s="37"/>
      <c r="L472" s="38"/>
    </row>
    <row r="473" spans="6:12" s="36" customFormat="1" x14ac:dyDescent="0.25">
      <c r="F473" s="52"/>
      <c r="G473" s="37"/>
      <c r="H473" s="37"/>
      <c r="I473" s="38"/>
      <c r="J473" s="37"/>
      <c r="K473" s="37"/>
      <c r="L473" s="38"/>
    </row>
    <row r="474" spans="6:12" s="36" customFormat="1" x14ac:dyDescent="0.25">
      <c r="F474" s="52"/>
      <c r="G474" s="37"/>
      <c r="H474" s="37"/>
      <c r="I474" s="38"/>
      <c r="J474" s="37"/>
      <c r="K474" s="37"/>
      <c r="L474" s="38"/>
    </row>
    <row r="475" spans="6:12" s="36" customFormat="1" x14ac:dyDescent="0.25">
      <c r="F475" s="52"/>
      <c r="G475" s="37"/>
      <c r="H475" s="37"/>
      <c r="I475" s="38"/>
      <c r="J475" s="37"/>
      <c r="K475" s="37"/>
      <c r="L475" s="38"/>
    </row>
    <row r="476" spans="6:12" s="36" customFormat="1" x14ac:dyDescent="0.25">
      <c r="F476" s="52"/>
      <c r="G476" s="37"/>
      <c r="H476" s="37"/>
      <c r="I476" s="38"/>
      <c r="J476" s="37"/>
      <c r="K476" s="37"/>
      <c r="L476" s="38"/>
    </row>
    <row r="477" spans="6:12" s="36" customFormat="1" x14ac:dyDescent="0.25">
      <c r="F477" s="52"/>
      <c r="G477" s="37"/>
      <c r="H477" s="37"/>
      <c r="I477" s="38"/>
      <c r="J477" s="37"/>
      <c r="K477" s="37"/>
      <c r="L477" s="38"/>
    </row>
    <row r="478" spans="6:12" s="36" customFormat="1" x14ac:dyDescent="0.25">
      <c r="F478" s="52"/>
      <c r="G478" s="37"/>
      <c r="H478" s="37"/>
      <c r="I478" s="38"/>
      <c r="J478" s="37"/>
      <c r="K478" s="37"/>
      <c r="L478" s="38"/>
    </row>
    <row r="479" spans="6:12" s="36" customFormat="1" x14ac:dyDescent="0.25">
      <c r="F479" s="52"/>
      <c r="G479" s="37"/>
      <c r="H479" s="37"/>
      <c r="I479" s="38"/>
      <c r="J479" s="37"/>
      <c r="K479" s="37"/>
      <c r="L479" s="38"/>
    </row>
    <row r="480" spans="6:12" s="36" customFormat="1" x14ac:dyDescent="0.25">
      <c r="F480" s="52"/>
      <c r="G480" s="37"/>
      <c r="H480" s="37"/>
      <c r="I480" s="38"/>
      <c r="J480" s="37"/>
      <c r="K480" s="37"/>
      <c r="L480" s="38"/>
    </row>
    <row r="481" spans="6:12" s="36" customFormat="1" x14ac:dyDescent="0.25">
      <c r="F481" s="52"/>
      <c r="G481" s="37"/>
      <c r="H481" s="37"/>
      <c r="I481" s="38"/>
      <c r="J481" s="37"/>
      <c r="K481" s="37"/>
      <c r="L481" s="38"/>
    </row>
    <row r="482" spans="6:12" s="36" customFormat="1" x14ac:dyDescent="0.25">
      <c r="F482" s="52"/>
      <c r="G482" s="37"/>
      <c r="H482" s="37"/>
      <c r="I482" s="38"/>
      <c r="J482" s="37"/>
      <c r="K482" s="37"/>
      <c r="L482" s="38"/>
    </row>
    <row r="483" spans="6:12" s="36" customFormat="1" x14ac:dyDescent="0.25">
      <c r="F483" s="52"/>
      <c r="G483" s="37"/>
      <c r="H483" s="37"/>
      <c r="I483" s="38"/>
      <c r="J483" s="37"/>
      <c r="K483" s="37"/>
      <c r="L483" s="38"/>
    </row>
    <row r="484" spans="6:12" s="36" customFormat="1" x14ac:dyDescent="0.25">
      <c r="F484" s="52"/>
      <c r="G484" s="37"/>
      <c r="H484" s="37"/>
      <c r="I484" s="38"/>
      <c r="J484" s="37"/>
      <c r="K484" s="37"/>
      <c r="L484" s="38"/>
    </row>
    <row r="485" spans="6:12" s="36" customFormat="1" x14ac:dyDescent="0.25">
      <c r="F485" s="52"/>
      <c r="G485" s="37"/>
      <c r="H485" s="37"/>
      <c r="I485" s="38"/>
      <c r="J485" s="37"/>
      <c r="K485" s="37"/>
      <c r="L485" s="38"/>
    </row>
    <row r="486" spans="6:12" s="36" customFormat="1" x14ac:dyDescent="0.25">
      <c r="F486" s="52"/>
      <c r="G486" s="37"/>
      <c r="H486" s="37"/>
      <c r="I486" s="38"/>
      <c r="J486" s="37"/>
      <c r="K486" s="37"/>
      <c r="L486" s="38"/>
    </row>
    <row r="487" spans="6:12" s="36" customFormat="1" x14ac:dyDescent="0.25">
      <c r="F487" s="52"/>
      <c r="G487" s="37"/>
      <c r="H487" s="37"/>
      <c r="I487" s="38"/>
      <c r="J487" s="37"/>
      <c r="K487" s="37"/>
      <c r="L487" s="38"/>
    </row>
    <row r="488" spans="6:12" s="36" customFormat="1" x14ac:dyDescent="0.25">
      <c r="F488" s="52"/>
      <c r="G488" s="37"/>
      <c r="H488" s="37"/>
      <c r="I488" s="38"/>
      <c r="J488" s="37"/>
      <c r="K488" s="37"/>
      <c r="L488" s="38"/>
    </row>
    <row r="489" spans="6:12" s="36" customFormat="1" x14ac:dyDescent="0.25">
      <c r="F489" s="52"/>
      <c r="G489" s="37"/>
      <c r="H489" s="37"/>
      <c r="I489" s="38"/>
      <c r="J489" s="37"/>
      <c r="K489" s="37"/>
      <c r="L489" s="38"/>
    </row>
    <row r="490" spans="6:12" s="36" customFormat="1" x14ac:dyDescent="0.25">
      <c r="F490" s="52"/>
      <c r="G490" s="37"/>
      <c r="H490" s="37"/>
      <c r="I490" s="38"/>
      <c r="J490" s="37"/>
      <c r="K490" s="37"/>
      <c r="L490" s="38"/>
    </row>
    <row r="491" spans="6:12" s="36" customFormat="1" x14ac:dyDescent="0.25">
      <c r="F491" s="52"/>
      <c r="G491" s="37"/>
      <c r="H491" s="37"/>
      <c r="I491" s="38"/>
      <c r="J491" s="37"/>
      <c r="K491" s="37"/>
      <c r="L491" s="38"/>
    </row>
    <row r="492" spans="6:12" s="36" customFormat="1" x14ac:dyDescent="0.25">
      <c r="F492" s="52"/>
      <c r="G492" s="37"/>
      <c r="H492" s="37"/>
      <c r="I492" s="38"/>
      <c r="J492" s="37"/>
      <c r="K492" s="37"/>
      <c r="L492" s="38"/>
    </row>
    <row r="493" spans="6:12" s="36" customFormat="1" x14ac:dyDescent="0.25">
      <c r="F493" s="52"/>
      <c r="G493" s="37"/>
      <c r="H493" s="37"/>
      <c r="I493" s="38"/>
      <c r="J493" s="37"/>
      <c r="K493" s="37"/>
      <c r="L493" s="38"/>
    </row>
    <row r="494" spans="6:12" s="36" customFormat="1" x14ac:dyDescent="0.25">
      <c r="F494" s="52"/>
      <c r="G494" s="37"/>
      <c r="H494" s="37"/>
      <c r="I494" s="38"/>
      <c r="J494" s="37"/>
      <c r="K494" s="37"/>
      <c r="L494" s="38"/>
    </row>
    <row r="495" spans="6:12" s="36" customFormat="1" x14ac:dyDescent="0.25">
      <c r="F495" s="52"/>
      <c r="G495" s="37"/>
      <c r="H495" s="37"/>
      <c r="I495" s="38"/>
      <c r="J495" s="37"/>
      <c r="K495" s="37"/>
      <c r="L495" s="38"/>
    </row>
    <row r="496" spans="6:12" s="36" customFormat="1" x14ac:dyDescent="0.25">
      <c r="F496" s="52"/>
      <c r="G496" s="37"/>
      <c r="H496" s="37"/>
      <c r="I496" s="38"/>
      <c r="J496" s="37"/>
      <c r="K496" s="37"/>
      <c r="L496" s="38"/>
    </row>
    <row r="497" spans="6:12" s="36" customFormat="1" x14ac:dyDescent="0.25">
      <c r="F497" s="52"/>
      <c r="G497" s="37"/>
      <c r="H497" s="37"/>
      <c r="I497" s="38"/>
      <c r="J497" s="37"/>
      <c r="K497" s="37"/>
      <c r="L497" s="38"/>
    </row>
    <row r="498" spans="6:12" s="36" customFormat="1" x14ac:dyDescent="0.25">
      <c r="F498" s="52"/>
      <c r="G498" s="37"/>
      <c r="H498" s="37"/>
      <c r="I498" s="38"/>
      <c r="J498" s="37"/>
      <c r="K498" s="37"/>
      <c r="L498" s="38"/>
    </row>
    <row r="499" spans="6:12" s="36" customFormat="1" x14ac:dyDescent="0.25">
      <c r="F499" s="52"/>
      <c r="G499" s="37"/>
      <c r="H499" s="37"/>
      <c r="I499" s="38"/>
      <c r="J499" s="37"/>
      <c r="K499" s="37"/>
      <c r="L499" s="38"/>
    </row>
    <row r="500" spans="6:12" s="36" customFormat="1" x14ac:dyDescent="0.25">
      <c r="F500" s="52"/>
      <c r="G500" s="37"/>
      <c r="H500" s="37"/>
      <c r="I500" s="38"/>
      <c r="J500" s="37"/>
      <c r="K500" s="37"/>
      <c r="L500" s="38"/>
    </row>
    <row r="501" spans="6:12" s="36" customFormat="1" x14ac:dyDescent="0.25">
      <c r="F501" s="52"/>
      <c r="G501" s="37"/>
      <c r="H501" s="37"/>
      <c r="I501" s="38"/>
      <c r="J501" s="37"/>
      <c r="K501" s="37"/>
      <c r="L501" s="38"/>
    </row>
    <row r="502" spans="6:12" s="36" customFormat="1" x14ac:dyDescent="0.25">
      <c r="F502" s="52"/>
      <c r="G502" s="37"/>
      <c r="H502" s="37"/>
      <c r="I502" s="38"/>
      <c r="J502" s="37"/>
      <c r="K502" s="37"/>
      <c r="L502" s="38"/>
    </row>
    <row r="503" spans="6:12" s="36" customFormat="1" x14ac:dyDescent="0.25">
      <c r="F503" s="52"/>
      <c r="G503" s="37"/>
      <c r="H503" s="37"/>
      <c r="I503" s="38"/>
      <c r="J503" s="37"/>
      <c r="K503" s="37"/>
      <c r="L503" s="38"/>
    </row>
    <row r="504" spans="6:12" s="36" customFormat="1" x14ac:dyDescent="0.25">
      <c r="F504" s="52"/>
      <c r="G504" s="37"/>
      <c r="H504" s="37"/>
      <c r="I504" s="38"/>
      <c r="J504" s="37"/>
      <c r="K504" s="37"/>
      <c r="L504" s="38"/>
    </row>
    <row r="505" spans="6:12" s="36" customFormat="1" x14ac:dyDescent="0.25">
      <c r="F505" s="52"/>
      <c r="G505" s="37"/>
      <c r="H505" s="37"/>
      <c r="I505" s="38"/>
      <c r="J505" s="37"/>
      <c r="K505" s="37"/>
      <c r="L505" s="38"/>
    </row>
    <row r="506" spans="6:12" s="36" customFormat="1" x14ac:dyDescent="0.25">
      <c r="F506" s="52"/>
      <c r="G506" s="37"/>
      <c r="H506" s="37"/>
      <c r="I506" s="38"/>
      <c r="J506" s="37"/>
      <c r="K506" s="37"/>
      <c r="L506" s="38"/>
    </row>
    <row r="507" spans="6:12" s="36" customFormat="1" x14ac:dyDescent="0.25">
      <c r="F507" s="52"/>
      <c r="G507" s="37"/>
      <c r="H507" s="37"/>
      <c r="I507" s="38"/>
      <c r="J507" s="37"/>
      <c r="K507" s="37"/>
      <c r="L507" s="38"/>
    </row>
    <row r="508" spans="6:12" s="36" customFormat="1" x14ac:dyDescent="0.25">
      <c r="F508" s="52"/>
      <c r="G508" s="37"/>
      <c r="H508" s="37"/>
      <c r="I508" s="38"/>
      <c r="J508" s="37"/>
      <c r="K508" s="37"/>
      <c r="L508" s="38"/>
    </row>
    <row r="509" spans="6:12" s="36" customFormat="1" x14ac:dyDescent="0.25">
      <c r="F509" s="52"/>
      <c r="G509" s="37"/>
      <c r="H509" s="37"/>
      <c r="I509" s="38"/>
      <c r="J509" s="37"/>
      <c r="K509" s="37"/>
      <c r="L509" s="38"/>
    </row>
    <row r="510" spans="6:12" s="36" customFormat="1" x14ac:dyDescent="0.25">
      <c r="F510" s="52"/>
      <c r="G510" s="37"/>
      <c r="H510" s="37"/>
      <c r="I510" s="38"/>
      <c r="J510" s="37"/>
      <c r="K510" s="37"/>
      <c r="L510" s="38"/>
    </row>
    <row r="511" spans="6:12" s="36" customFormat="1" x14ac:dyDescent="0.25">
      <c r="F511" s="52"/>
      <c r="G511" s="37"/>
      <c r="H511" s="37"/>
      <c r="I511" s="38"/>
      <c r="J511" s="37"/>
      <c r="K511" s="37"/>
      <c r="L511" s="38"/>
    </row>
    <row r="512" spans="6:12" s="36" customFormat="1" x14ac:dyDescent="0.25">
      <c r="F512" s="52"/>
      <c r="G512" s="37"/>
      <c r="H512" s="37"/>
      <c r="I512" s="38"/>
      <c r="J512" s="37"/>
      <c r="K512" s="37"/>
      <c r="L512" s="38"/>
    </row>
    <row r="513" spans="6:12" s="36" customFormat="1" x14ac:dyDescent="0.25">
      <c r="F513" s="52"/>
      <c r="G513" s="37"/>
      <c r="H513" s="37"/>
      <c r="I513" s="38"/>
      <c r="J513" s="37"/>
      <c r="K513" s="37"/>
      <c r="L513" s="38"/>
    </row>
    <row r="514" spans="6:12" s="36" customFormat="1" x14ac:dyDescent="0.25">
      <c r="F514" s="52"/>
      <c r="G514" s="37"/>
      <c r="H514" s="37"/>
      <c r="I514" s="38"/>
      <c r="J514" s="37"/>
      <c r="K514" s="37"/>
      <c r="L514" s="38"/>
    </row>
    <row r="515" spans="6:12" s="36" customFormat="1" x14ac:dyDescent="0.25">
      <c r="F515" s="52"/>
      <c r="G515" s="37"/>
      <c r="H515" s="37"/>
      <c r="I515" s="38"/>
      <c r="J515" s="37"/>
      <c r="K515" s="37"/>
      <c r="L515" s="38"/>
    </row>
    <row r="516" spans="6:12" s="36" customFormat="1" x14ac:dyDescent="0.25">
      <c r="F516" s="52"/>
      <c r="G516" s="37"/>
      <c r="H516" s="37"/>
      <c r="I516" s="38"/>
      <c r="J516" s="37"/>
      <c r="K516" s="37"/>
      <c r="L516" s="38"/>
    </row>
    <row r="517" spans="6:12" s="36" customFormat="1" x14ac:dyDescent="0.25">
      <c r="F517" s="52"/>
      <c r="G517" s="37"/>
      <c r="H517" s="37"/>
      <c r="I517" s="38"/>
      <c r="J517" s="37"/>
      <c r="K517" s="37"/>
      <c r="L517" s="38"/>
    </row>
    <row r="518" spans="6:12" s="36" customFormat="1" x14ac:dyDescent="0.25">
      <c r="F518" s="52"/>
      <c r="G518" s="37"/>
      <c r="H518" s="37"/>
      <c r="I518" s="38"/>
      <c r="J518" s="37"/>
      <c r="K518" s="37"/>
      <c r="L518" s="38"/>
    </row>
    <row r="519" spans="6:12" s="36" customFormat="1" x14ac:dyDescent="0.25">
      <c r="F519" s="52"/>
      <c r="G519" s="37"/>
      <c r="H519" s="37"/>
      <c r="I519" s="38"/>
      <c r="J519" s="37"/>
      <c r="K519" s="37"/>
      <c r="L519" s="38"/>
    </row>
    <row r="520" spans="6:12" s="36" customFormat="1" x14ac:dyDescent="0.25">
      <c r="F520" s="52"/>
      <c r="G520" s="37"/>
      <c r="H520" s="37"/>
      <c r="I520" s="38"/>
      <c r="J520" s="37"/>
      <c r="K520" s="37"/>
      <c r="L520" s="38"/>
    </row>
    <row r="521" spans="6:12" s="36" customFormat="1" x14ac:dyDescent="0.25">
      <c r="F521" s="52"/>
      <c r="G521" s="37"/>
      <c r="H521" s="37"/>
      <c r="I521" s="38"/>
      <c r="J521" s="37"/>
      <c r="K521" s="37"/>
      <c r="L521" s="38"/>
    </row>
    <row r="522" spans="6:12" s="36" customFormat="1" x14ac:dyDescent="0.25">
      <c r="F522" s="52"/>
      <c r="G522" s="37"/>
      <c r="H522" s="37"/>
      <c r="I522" s="38"/>
      <c r="J522" s="37"/>
      <c r="K522" s="37"/>
      <c r="L522" s="38"/>
    </row>
    <row r="523" spans="6:12" s="36" customFormat="1" x14ac:dyDescent="0.25">
      <c r="F523" s="52"/>
      <c r="G523" s="37"/>
      <c r="H523" s="37"/>
      <c r="I523" s="38"/>
      <c r="J523" s="37"/>
      <c r="K523" s="37"/>
      <c r="L523" s="38"/>
    </row>
    <row r="524" spans="6:12" s="36" customFormat="1" x14ac:dyDescent="0.25">
      <c r="F524" s="52"/>
      <c r="G524" s="37"/>
      <c r="H524" s="37"/>
      <c r="I524" s="38"/>
      <c r="J524" s="37"/>
      <c r="K524" s="37"/>
      <c r="L524" s="38"/>
    </row>
    <row r="525" spans="6:12" s="36" customFormat="1" x14ac:dyDescent="0.25">
      <c r="F525" s="52"/>
      <c r="G525" s="37"/>
      <c r="H525" s="37"/>
      <c r="I525" s="38"/>
      <c r="J525" s="37"/>
      <c r="K525" s="37"/>
      <c r="L525" s="38"/>
    </row>
    <row r="526" spans="6:12" s="36" customFormat="1" x14ac:dyDescent="0.25">
      <c r="F526" s="52"/>
      <c r="G526" s="37"/>
      <c r="H526" s="37"/>
      <c r="I526" s="38"/>
      <c r="J526" s="37"/>
      <c r="K526" s="37"/>
      <c r="L526" s="38"/>
    </row>
    <row r="527" spans="6:12" s="36" customFormat="1" x14ac:dyDescent="0.25">
      <c r="F527" s="52"/>
      <c r="G527" s="37"/>
      <c r="H527" s="37"/>
      <c r="I527" s="38"/>
      <c r="J527" s="37"/>
      <c r="K527" s="37"/>
      <c r="L527" s="38"/>
    </row>
    <row r="528" spans="6:12" s="36" customFormat="1" x14ac:dyDescent="0.25">
      <c r="F528" s="52"/>
      <c r="G528" s="37"/>
      <c r="H528" s="37"/>
      <c r="I528" s="38"/>
      <c r="J528" s="37"/>
      <c r="K528" s="37"/>
      <c r="L528" s="38"/>
    </row>
    <row r="529" spans="6:12" s="36" customFormat="1" x14ac:dyDescent="0.25">
      <c r="F529" s="52"/>
      <c r="G529" s="37"/>
      <c r="H529" s="37"/>
      <c r="I529" s="38"/>
      <c r="J529" s="37"/>
      <c r="K529" s="37"/>
      <c r="L529" s="38"/>
    </row>
    <row r="530" spans="6:12" s="36" customFormat="1" x14ac:dyDescent="0.25">
      <c r="F530" s="52"/>
      <c r="G530" s="37"/>
      <c r="H530" s="37"/>
      <c r="I530" s="38"/>
      <c r="J530" s="37"/>
      <c r="K530" s="37"/>
      <c r="L530" s="38"/>
    </row>
    <row r="531" spans="6:12" s="36" customFormat="1" x14ac:dyDescent="0.25">
      <c r="F531" s="52"/>
      <c r="G531" s="37"/>
      <c r="H531" s="37"/>
      <c r="I531" s="38"/>
      <c r="J531" s="37"/>
      <c r="K531" s="37"/>
      <c r="L531" s="38"/>
    </row>
    <row r="532" spans="6:12" s="36" customFormat="1" x14ac:dyDescent="0.25">
      <c r="F532" s="52"/>
      <c r="G532" s="37"/>
      <c r="H532" s="37"/>
      <c r="I532" s="38"/>
      <c r="J532" s="37"/>
      <c r="K532" s="37"/>
      <c r="L532" s="38"/>
    </row>
    <row r="533" spans="6:12" s="36" customFormat="1" x14ac:dyDescent="0.25">
      <c r="F533" s="52"/>
      <c r="G533" s="37"/>
      <c r="H533" s="37"/>
      <c r="I533" s="38"/>
      <c r="J533" s="37"/>
      <c r="K533" s="37"/>
      <c r="L533" s="38"/>
    </row>
    <row r="534" spans="6:12" s="36" customFormat="1" x14ac:dyDescent="0.25">
      <c r="F534" s="52"/>
      <c r="G534" s="37"/>
      <c r="H534" s="37"/>
      <c r="I534" s="38"/>
      <c r="J534" s="37"/>
      <c r="K534" s="37"/>
      <c r="L534" s="38"/>
    </row>
    <row r="535" spans="6:12" s="36" customFormat="1" x14ac:dyDescent="0.25">
      <c r="F535" s="52"/>
      <c r="G535" s="37"/>
      <c r="H535" s="37"/>
      <c r="I535" s="38"/>
      <c r="J535" s="37"/>
      <c r="K535" s="37"/>
      <c r="L535" s="38"/>
    </row>
    <row r="536" spans="6:12" s="36" customFormat="1" x14ac:dyDescent="0.25">
      <c r="F536" s="52"/>
      <c r="G536" s="37"/>
      <c r="H536" s="37"/>
      <c r="I536" s="38"/>
      <c r="J536" s="37"/>
      <c r="K536" s="37"/>
      <c r="L536" s="38"/>
    </row>
    <row r="537" spans="6:12" s="36" customFormat="1" x14ac:dyDescent="0.25">
      <c r="F537" s="52"/>
      <c r="G537" s="37"/>
      <c r="H537" s="37"/>
      <c r="I537" s="38"/>
      <c r="J537" s="37"/>
      <c r="K537" s="37"/>
      <c r="L537" s="38"/>
    </row>
    <row r="538" spans="6:12" s="36" customFormat="1" x14ac:dyDescent="0.25">
      <c r="F538" s="52"/>
      <c r="G538" s="37"/>
      <c r="H538" s="37"/>
      <c r="I538" s="38"/>
      <c r="J538" s="37"/>
      <c r="K538" s="37"/>
      <c r="L538" s="38"/>
    </row>
    <row r="539" spans="6:12" s="36" customFormat="1" x14ac:dyDescent="0.25">
      <c r="F539" s="52"/>
      <c r="G539" s="37"/>
      <c r="H539" s="37"/>
      <c r="I539" s="38"/>
      <c r="J539" s="37"/>
      <c r="K539" s="37"/>
      <c r="L539" s="38"/>
    </row>
    <row r="540" spans="6:12" s="36" customFormat="1" x14ac:dyDescent="0.25">
      <c r="F540" s="52"/>
      <c r="G540" s="37"/>
      <c r="H540" s="37"/>
      <c r="I540" s="38"/>
      <c r="J540" s="37"/>
      <c r="K540" s="37"/>
      <c r="L540" s="38"/>
    </row>
    <row r="541" spans="6:12" s="36" customFormat="1" x14ac:dyDescent="0.25">
      <c r="F541" s="52"/>
      <c r="G541" s="37"/>
      <c r="H541" s="37"/>
      <c r="I541" s="38"/>
      <c r="J541" s="37"/>
      <c r="K541" s="37"/>
      <c r="L541" s="38"/>
    </row>
    <row r="542" spans="6:12" s="36" customFormat="1" x14ac:dyDescent="0.25">
      <c r="F542" s="52"/>
      <c r="G542" s="37"/>
      <c r="H542" s="37"/>
      <c r="I542" s="38"/>
      <c r="J542" s="37"/>
      <c r="K542" s="37"/>
      <c r="L542" s="38"/>
    </row>
    <row r="543" spans="6:12" s="36" customFormat="1" x14ac:dyDescent="0.25">
      <c r="F543" s="52"/>
      <c r="G543" s="37"/>
      <c r="H543" s="37"/>
      <c r="I543" s="38"/>
      <c r="J543" s="37"/>
      <c r="K543" s="37"/>
      <c r="L543" s="38"/>
    </row>
    <row r="544" spans="6:12" s="36" customFormat="1" x14ac:dyDescent="0.25">
      <c r="F544" s="52"/>
      <c r="G544" s="37"/>
      <c r="H544" s="37"/>
      <c r="I544" s="38"/>
      <c r="J544" s="37"/>
      <c r="K544" s="37"/>
      <c r="L544" s="38"/>
    </row>
    <row r="545" spans="6:12" s="36" customFormat="1" x14ac:dyDescent="0.25">
      <c r="F545" s="52"/>
      <c r="G545" s="37"/>
      <c r="H545" s="37"/>
      <c r="I545" s="38"/>
      <c r="J545" s="37"/>
      <c r="K545" s="37"/>
      <c r="L545" s="38"/>
    </row>
    <row r="546" spans="6:12" s="36" customFormat="1" x14ac:dyDescent="0.25">
      <c r="F546" s="52"/>
      <c r="G546" s="37"/>
      <c r="H546" s="37"/>
      <c r="I546" s="38"/>
      <c r="J546" s="37"/>
      <c r="K546" s="37"/>
      <c r="L546" s="38"/>
    </row>
    <row r="547" spans="6:12" s="36" customFormat="1" x14ac:dyDescent="0.25">
      <c r="F547" s="52"/>
      <c r="G547" s="37"/>
      <c r="H547" s="37"/>
      <c r="I547" s="38"/>
      <c r="J547" s="37"/>
      <c r="K547" s="37"/>
      <c r="L547" s="38"/>
    </row>
    <row r="548" spans="6:12" s="36" customFormat="1" x14ac:dyDescent="0.25">
      <c r="F548" s="52"/>
      <c r="G548" s="37"/>
      <c r="H548" s="37"/>
      <c r="I548" s="38"/>
      <c r="J548" s="37"/>
      <c r="K548" s="37"/>
      <c r="L548" s="38"/>
    </row>
    <row r="549" spans="6:12" s="36" customFormat="1" x14ac:dyDescent="0.25">
      <c r="F549" s="52"/>
      <c r="G549" s="37"/>
      <c r="H549" s="37"/>
      <c r="I549" s="38"/>
      <c r="J549" s="37"/>
      <c r="K549" s="37"/>
      <c r="L549" s="38"/>
    </row>
    <row r="550" spans="6:12" s="36" customFormat="1" x14ac:dyDescent="0.25">
      <c r="F550" s="52"/>
      <c r="G550" s="37"/>
      <c r="H550" s="37"/>
      <c r="I550" s="38"/>
      <c r="J550" s="37"/>
      <c r="K550" s="37"/>
      <c r="L550" s="38"/>
    </row>
    <row r="551" spans="6:12" s="36" customFormat="1" x14ac:dyDescent="0.25">
      <c r="F551" s="52"/>
      <c r="G551" s="37"/>
      <c r="H551" s="37"/>
      <c r="I551" s="38"/>
      <c r="J551" s="37"/>
      <c r="K551" s="37"/>
      <c r="L551" s="38"/>
    </row>
    <row r="552" spans="6:12" s="36" customFormat="1" x14ac:dyDescent="0.25">
      <c r="F552" s="52"/>
      <c r="G552" s="37"/>
      <c r="H552" s="37"/>
      <c r="I552" s="38"/>
      <c r="J552" s="37"/>
      <c r="K552" s="37"/>
      <c r="L552" s="38"/>
    </row>
    <row r="553" spans="6:12" s="36" customFormat="1" x14ac:dyDescent="0.25">
      <c r="F553" s="52"/>
      <c r="G553" s="37"/>
      <c r="H553" s="37"/>
      <c r="I553" s="38"/>
      <c r="J553" s="37"/>
      <c r="K553" s="37"/>
      <c r="L553" s="38"/>
    </row>
    <row r="554" spans="6:12" s="36" customFormat="1" x14ac:dyDescent="0.25">
      <c r="F554" s="52"/>
      <c r="G554" s="37"/>
      <c r="H554" s="37"/>
      <c r="I554" s="38"/>
      <c r="J554" s="37"/>
      <c r="K554" s="37"/>
      <c r="L554" s="38"/>
    </row>
    <row r="555" spans="6:12" s="36" customFormat="1" x14ac:dyDescent="0.25">
      <c r="F555" s="52"/>
      <c r="G555" s="37"/>
      <c r="H555" s="37"/>
      <c r="I555" s="38"/>
      <c r="J555" s="37"/>
      <c r="K555" s="37"/>
      <c r="L555" s="38"/>
    </row>
    <row r="556" spans="6:12" s="36" customFormat="1" x14ac:dyDescent="0.25">
      <c r="F556" s="52"/>
      <c r="G556" s="37"/>
      <c r="H556" s="37"/>
      <c r="I556" s="38"/>
      <c r="J556" s="37"/>
      <c r="K556" s="37"/>
      <c r="L556" s="38"/>
    </row>
    <row r="557" spans="6:12" s="36" customFormat="1" x14ac:dyDescent="0.25">
      <c r="F557" s="52"/>
      <c r="G557" s="37"/>
      <c r="H557" s="37"/>
      <c r="I557" s="38"/>
      <c r="J557" s="37"/>
      <c r="K557" s="37"/>
      <c r="L557" s="38"/>
    </row>
    <row r="558" spans="6:12" s="36" customFormat="1" x14ac:dyDescent="0.25">
      <c r="F558" s="52"/>
      <c r="G558" s="37"/>
      <c r="H558" s="37"/>
      <c r="I558" s="38"/>
      <c r="J558" s="37"/>
      <c r="K558" s="37"/>
      <c r="L558" s="38"/>
    </row>
    <row r="559" spans="6:12" s="36" customFormat="1" x14ac:dyDescent="0.25">
      <c r="F559" s="52"/>
      <c r="G559" s="37"/>
      <c r="H559" s="37"/>
      <c r="I559" s="38"/>
      <c r="J559" s="37"/>
      <c r="K559" s="37"/>
      <c r="L559" s="38"/>
    </row>
    <row r="560" spans="6:12" s="36" customFormat="1" x14ac:dyDescent="0.25">
      <c r="F560" s="52"/>
      <c r="G560" s="37"/>
      <c r="H560" s="37"/>
      <c r="I560" s="38"/>
      <c r="J560" s="37"/>
      <c r="K560" s="37"/>
      <c r="L560" s="38"/>
    </row>
    <row r="561" spans="6:12" s="36" customFormat="1" x14ac:dyDescent="0.25">
      <c r="F561" s="52"/>
      <c r="G561" s="37"/>
      <c r="H561" s="37"/>
      <c r="I561" s="38"/>
      <c r="J561" s="37"/>
      <c r="K561" s="37"/>
      <c r="L561" s="38"/>
    </row>
    <row r="562" spans="6:12" s="36" customFormat="1" x14ac:dyDescent="0.25">
      <c r="F562" s="52"/>
      <c r="G562" s="37"/>
      <c r="H562" s="37"/>
      <c r="I562" s="38"/>
      <c r="J562" s="37"/>
      <c r="K562" s="37"/>
      <c r="L562" s="38"/>
    </row>
    <row r="563" spans="6:12" s="36" customFormat="1" x14ac:dyDescent="0.25">
      <c r="F563" s="52"/>
      <c r="G563" s="37"/>
      <c r="H563" s="37"/>
      <c r="I563" s="38"/>
      <c r="J563" s="37"/>
      <c r="K563" s="37"/>
      <c r="L563" s="38"/>
    </row>
    <row r="564" spans="6:12" s="36" customFormat="1" x14ac:dyDescent="0.25">
      <c r="F564" s="52"/>
      <c r="G564" s="37"/>
      <c r="H564" s="37"/>
      <c r="I564" s="38"/>
      <c r="J564" s="37"/>
      <c r="K564" s="37"/>
      <c r="L564" s="38"/>
    </row>
    <row r="565" spans="6:12" s="36" customFormat="1" x14ac:dyDescent="0.25">
      <c r="F565" s="52"/>
      <c r="G565" s="37"/>
      <c r="H565" s="37"/>
      <c r="I565" s="38"/>
      <c r="J565" s="37"/>
      <c r="K565" s="37"/>
      <c r="L565" s="38"/>
    </row>
    <row r="566" spans="6:12" s="36" customFormat="1" x14ac:dyDescent="0.25">
      <c r="F566" s="52"/>
      <c r="G566" s="37"/>
      <c r="H566" s="37"/>
      <c r="I566" s="38"/>
      <c r="J566" s="37"/>
      <c r="K566" s="37"/>
      <c r="L566" s="38"/>
    </row>
    <row r="567" spans="6:12" s="36" customFormat="1" x14ac:dyDescent="0.25">
      <c r="F567" s="52"/>
      <c r="G567" s="37"/>
      <c r="H567" s="37"/>
      <c r="I567" s="38"/>
      <c r="J567" s="37"/>
      <c r="K567" s="37"/>
      <c r="L567" s="38"/>
    </row>
    <row r="568" spans="6:12" s="36" customFormat="1" x14ac:dyDescent="0.25">
      <c r="F568" s="52"/>
      <c r="G568" s="37"/>
      <c r="H568" s="37"/>
      <c r="I568" s="38"/>
      <c r="J568" s="37"/>
      <c r="K568" s="37"/>
      <c r="L568" s="38"/>
    </row>
    <row r="569" spans="6:12" s="36" customFormat="1" x14ac:dyDescent="0.25">
      <c r="F569" s="52"/>
      <c r="G569" s="37"/>
      <c r="H569" s="37"/>
      <c r="I569" s="38"/>
      <c r="J569" s="37"/>
      <c r="K569" s="37"/>
      <c r="L569" s="38"/>
    </row>
    <row r="570" spans="6:12" s="36" customFormat="1" x14ac:dyDescent="0.25">
      <c r="F570" s="52"/>
      <c r="G570" s="37"/>
      <c r="H570" s="37"/>
      <c r="I570" s="38"/>
      <c r="J570" s="37"/>
      <c r="K570" s="37"/>
      <c r="L570" s="38"/>
    </row>
    <row r="571" spans="6:12" s="36" customFormat="1" x14ac:dyDescent="0.25">
      <c r="F571" s="52"/>
      <c r="G571" s="37"/>
      <c r="H571" s="37"/>
      <c r="I571" s="38"/>
      <c r="J571" s="37"/>
      <c r="K571" s="37"/>
      <c r="L571" s="38"/>
    </row>
    <row r="572" spans="6:12" s="36" customFormat="1" x14ac:dyDescent="0.25">
      <c r="F572" s="52"/>
      <c r="G572" s="37"/>
      <c r="H572" s="37"/>
      <c r="I572" s="38"/>
      <c r="J572" s="37"/>
      <c r="K572" s="37"/>
      <c r="L572" s="38"/>
    </row>
    <row r="573" spans="6:12" s="36" customFormat="1" x14ac:dyDescent="0.25">
      <c r="F573" s="52"/>
      <c r="G573" s="37"/>
      <c r="H573" s="37"/>
      <c r="I573" s="38"/>
      <c r="J573" s="37"/>
      <c r="K573" s="37"/>
      <c r="L573" s="38"/>
    </row>
    <row r="574" spans="6:12" s="36" customFormat="1" x14ac:dyDescent="0.25">
      <c r="F574" s="52"/>
      <c r="G574" s="37"/>
      <c r="H574" s="37"/>
      <c r="I574" s="38"/>
      <c r="J574" s="37"/>
      <c r="K574" s="37"/>
      <c r="L574" s="38"/>
    </row>
    <row r="575" spans="6:12" s="36" customFormat="1" x14ac:dyDescent="0.25">
      <c r="F575" s="52"/>
      <c r="G575" s="37"/>
      <c r="H575" s="37"/>
      <c r="I575" s="38"/>
      <c r="J575" s="37"/>
      <c r="K575" s="37"/>
      <c r="L575" s="38"/>
    </row>
    <row r="576" spans="6:12" s="36" customFormat="1" x14ac:dyDescent="0.25">
      <c r="F576" s="52"/>
      <c r="G576" s="37"/>
      <c r="H576" s="37"/>
      <c r="I576" s="38"/>
      <c r="J576" s="37"/>
      <c r="K576" s="37"/>
      <c r="L576" s="38"/>
    </row>
    <row r="577" spans="6:12" s="36" customFormat="1" x14ac:dyDescent="0.25">
      <c r="F577" s="52"/>
      <c r="G577" s="37"/>
      <c r="H577" s="37"/>
      <c r="I577" s="38"/>
      <c r="J577" s="37"/>
      <c r="K577" s="37"/>
      <c r="L577" s="38"/>
    </row>
    <row r="578" spans="6:12" s="36" customFormat="1" x14ac:dyDescent="0.25">
      <c r="F578" s="52"/>
      <c r="G578" s="37"/>
      <c r="H578" s="37"/>
      <c r="I578" s="38"/>
      <c r="J578" s="37"/>
      <c r="K578" s="37"/>
      <c r="L578" s="38"/>
    </row>
    <row r="579" spans="6:12" s="36" customFormat="1" x14ac:dyDescent="0.25">
      <c r="F579" s="52"/>
      <c r="G579" s="37"/>
      <c r="H579" s="37"/>
      <c r="I579" s="38"/>
      <c r="J579" s="37"/>
      <c r="K579" s="37"/>
      <c r="L579" s="38"/>
    </row>
    <row r="580" spans="6:12" s="36" customFormat="1" x14ac:dyDescent="0.25">
      <c r="F580" s="52"/>
      <c r="G580" s="37"/>
      <c r="H580" s="37"/>
      <c r="I580" s="38"/>
      <c r="J580" s="37"/>
      <c r="K580" s="37"/>
      <c r="L580" s="38"/>
    </row>
    <row r="581" spans="6:12" s="36" customFormat="1" x14ac:dyDescent="0.25">
      <c r="F581" s="52"/>
      <c r="G581" s="37"/>
      <c r="H581" s="37"/>
      <c r="I581" s="38"/>
      <c r="J581" s="37"/>
      <c r="K581" s="37"/>
      <c r="L581" s="38"/>
    </row>
    <row r="582" spans="6:12" s="36" customFormat="1" x14ac:dyDescent="0.25">
      <c r="F582" s="52"/>
      <c r="G582" s="37"/>
      <c r="H582" s="37"/>
      <c r="I582" s="38"/>
      <c r="J582" s="37"/>
      <c r="K582" s="37"/>
      <c r="L582" s="38"/>
    </row>
    <row r="583" spans="6:12" s="36" customFormat="1" x14ac:dyDescent="0.25">
      <c r="F583" s="52"/>
      <c r="G583" s="37"/>
      <c r="H583" s="37"/>
      <c r="I583" s="38"/>
      <c r="J583" s="37"/>
      <c r="K583" s="37"/>
      <c r="L583" s="38"/>
    </row>
    <row r="584" spans="6:12" s="36" customFormat="1" x14ac:dyDescent="0.25">
      <c r="F584" s="52"/>
      <c r="G584" s="37"/>
      <c r="H584" s="37"/>
      <c r="I584" s="38"/>
      <c r="J584" s="37"/>
      <c r="K584" s="37"/>
      <c r="L584" s="38"/>
    </row>
    <row r="585" spans="6:12" s="36" customFormat="1" x14ac:dyDescent="0.25">
      <c r="F585" s="52"/>
      <c r="G585" s="37"/>
      <c r="H585" s="37"/>
      <c r="I585" s="38"/>
      <c r="J585" s="37"/>
      <c r="K585" s="37"/>
      <c r="L585" s="38"/>
    </row>
    <row r="586" spans="6:12" s="36" customFormat="1" x14ac:dyDescent="0.25">
      <c r="F586" s="52"/>
      <c r="G586" s="37"/>
      <c r="H586" s="37"/>
      <c r="I586" s="38"/>
      <c r="J586" s="37"/>
      <c r="K586" s="37"/>
      <c r="L586" s="38"/>
    </row>
    <row r="587" spans="6:12" s="36" customFormat="1" x14ac:dyDescent="0.25">
      <c r="F587" s="52"/>
      <c r="G587" s="37"/>
      <c r="H587" s="37"/>
      <c r="I587" s="38"/>
      <c r="J587" s="37"/>
      <c r="K587" s="37"/>
      <c r="L587" s="38"/>
    </row>
    <row r="588" spans="6:12" s="36" customFormat="1" x14ac:dyDescent="0.25">
      <c r="F588" s="52"/>
      <c r="G588" s="37"/>
      <c r="H588" s="37"/>
      <c r="I588" s="38"/>
      <c r="J588" s="37"/>
      <c r="K588" s="37"/>
      <c r="L588" s="38"/>
    </row>
    <row r="589" spans="6:12" s="36" customFormat="1" x14ac:dyDescent="0.25">
      <c r="F589" s="52"/>
      <c r="G589" s="37"/>
      <c r="H589" s="37"/>
      <c r="I589" s="38"/>
      <c r="J589" s="37"/>
      <c r="K589" s="37"/>
      <c r="L589" s="38"/>
    </row>
    <row r="590" spans="6:12" s="36" customFormat="1" x14ac:dyDescent="0.25">
      <c r="F590" s="52"/>
      <c r="G590" s="37"/>
      <c r="H590" s="37"/>
      <c r="I590" s="38"/>
      <c r="J590" s="37"/>
      <c r="K590" s="37"/>
      <c r="L590" s="38"/>
    </row>
    <row r="591" spans="6:12" s="36" customFormat="1" x14ac:dyDescent="0.25">
      <c r="F591" s="52"/>
      <c r="G591" s="37"/>
      <c r="H591" s="37"/>
      <c r="I591" s="38"/>
      <c r="J591" s="37"/>
      <c r="K591" s="37"/>
      <c r="L591" s="38"/>
    </row>
    <row r="592" spans="6:12" s="36" customFormat="1" x14ac:dyDescent="0.25">
      <c r="F592" s="52"/>
      <c r="G592" s="37"/>
      <c r="H592" s="37"/>
      <c r="I592" s="38"/>
      <c r="J592" s="37"/>
      <c r="K592" s="37"/>
      <c r="L592" s="38"/>
    </row>
    <row r="593" spans="6:12" s="36" customFormat="1" x14ac:dyDescent="0.25">
      <c r="F593" s="52"/>
      <c r="G593" s="37"/>
      <c r="H593" s="37"/>
      <c r="I593" s="38"/>
      <c r="J593" s="37"/>
      <c r="K593" s="37"/>
      <c r="L593" s="38"/>
    </row>
    <row r="594" spans="6:12" s="36" customFormat="1" x14ac:dyDescent="0.25">
      <c r="F594" s="52"/>
      <c r="G594" s="37"/>
      <c r="H594" s="37"/>
      <c r="I594" s="38"/>
      <c r="J594" s="37"/>
      <c r="K594" s="37"/>
      <c r="L594" s="38"/>
    </row>
    <row r="595" spans="6:12" s="36" customFormat="1" x14ac:dyDescent="0.25">
      <c r="F595" s="52"/>
      <c r="G595" s="37"/>
      <c r="H595" s="37"/>
      <c r="I595" s="38"/>
      <c r="J595" s="37"/>
      <c r="K595" s="37"/>
      <c r="L595" s="38"/>
    </row>
    <row r="596" spans="6:12" s="36" customFormat="1" x14ac:dyDescent="0.25">
      <c r="F596" s="52"/>
      <c r="G596" s="37"/>
      <c r="H596" s="37"/>
      <c r="I596" s="38"/>
      <c r="J596" s="37"/>
      <c r="K596" s="37"/>
      <c r="L596" s="38"/>
    </row>
    <row r="597" spans="6:12" s="36" customFormat="1" x14ac:dyDescent="0.25">
      <c r="F597" s="52"/>
      <c r="G597" s="37"/>
      <c r="H597" s="37"/>
      <c r="I597" s="38"/>
      <c r="J597" s="37"/>
      <c r="K597" s="37"/>
      <c r="L597" s="38"/>
    </row>
    <row r="598" spans="6:12" s="36" customFormat="1" x14ac:dyDescent="0.25">
      <c r="F598" s="52"/>
      <c r="G598" s="37"/>
      <c r="H598" s="37"/>
      <c r="I598" s="38"/>
      <c r="J598" s="37"/>
      <c r="K598" s="37"/>
      <c r="L598" s="38"/>
    </row>
    <row r="599" spans="6:12" s="36" customFormat="1" x14ac:dyDescent="0.25">
      <c r="F599" s="52"/>
      <c r="G599" s="37"/>
      <c r="H599" s="37"/>
      <c r="I599" s="38"/>
      <c r="J599" s="37"/>
      <c r="K599" s="37"/>
      <c r="L599" s="38"/>
    </row>
    <row r="600" spans="6:12" s="36" customFormat="1" x14ac:dyDescent="0.25">
      <c r="F600" s="52"/>
      <c r="G600" s="37"/>
      <c r="H600" s="37"/>
      <c r="I600" s="38"/>
      <c r="J600" s="37"/>
      <c r="K600" s="37"/>
      <c r="L600" s="38"/>
    </row>
    <row r="601" spans="6:12" s="36" customFormat="1" x14ac:dyDescent="0.25">
      <c r="F601" s="52"/>
      <c r="G601" s="37"/>
      <c r="H601" s="37"/>
      <c r="I601" s="38"/>
      <c r="J601" s="37"/>
      <c r="K601" s="37"/>
      <c r="L601" s="38"/>
    </row>
    <row r="602" spans="6:12" s="36" customFormat="1" x14ac:dyDescent="0.25">
      <c r="F602" s="52"/>
      <c r="G602" s="37"/>
      <c r="H602" s="37"/>
      <c r="I602" s="38"/>
      <c r="J602" s="37"/>
      <c r="K602" s="37"/>
      <c r="L602" s="38"/>
    </row>
    <row r="603" spans="6:12" s="36" customFormat="1" x14ac:dyDescent="0.25">
      <c r="F603" s="52"/>
      <c r="G603" s="37"/>
      <c r="H603" s="37"/>
      <c r="I603" s="38"/>
      <c r="J603" s="37"/>
      <c r="K603" s="37"/>
      <c r="L603" s="38"/>
    </row>
    <row r="604" spans="6:12" s="36" customFormat="1" x14ac:dyDescent="0.25">
      <c r="F604" s="52"/>
      <c r="G604" s="37"/>
      <c r="H604" s="37"/>
      <c r="I604" s="38"/>
      <c r="J604" s="37"/>
      <c r="K604" s="37"/>
      <c r="L604" s="38"/>
    </row>
    <row r="605" spans="6:12" s="36" customFormat="1" x14ac:dyDescent="0.25">
      <c r="F605" s="52"/>
      <c r="G605" s="37"/>
      <c r="H605" s="37"/>
      <c r="I605" s="38"/>
      <c r="J605" s="37"/>
      <c r="K605" s="37"/>
      <c r="L605" s="38"/>
    </row>
    <row r="606" spans="6:12" s="36" customFormat="1" x14ac:dyDescent="0.25">
      <c r="F606" s="52"/>
      <c r="G606" s="37"/>
      <c r="H606" s="37"/>
      <c r="I606" s="38"/>
      <c r="J606" s="37"/>
      <c r="K606" s="37"/>
      <c r="L606" s="38"/>
    </row>
    <row r="607" spans="6:12" s="36" customFormat="1" x14ac:dyDescent="0.25">
      <c r="F607" s="52"/>
      <c r="G607" s="37"/>
      <c r="H607" s="37"/>
      <c r="I607" s="38"/>
      <c r="J607" s="37"/>
      <c r="K607" s="37"/>
      <c r="L607" s="38"/>
    </row>
    <row r="608" spans="6:12" s="36" customFormat="1" x14ac:dyDescent="0.25">
      <c r="F608" s="52"/>
      <c r="G608" s="37"/>
      <c r="H608" s="37"/>
      <c r="I608" s="38"/>
      <c r="J608" s="37"/>
      <c r="K608" s="37"/>
      <c r="L608" s="38"/>
    </row>
    <row r="609" spans="6:12" s="36" customFormat="1" x14ac:dyDescent="0.25">
      <c r="F609" s="52"/>
      <c r="G609" s="37"/>
      <c r="H609" s="37"/>
      <c r="I609" s="38"/>
      <c r="J609" s="37"/>
      <c r="K609" s="37"/>
      <c r="L609" s="38"/>
    </row>
    <row r="610" spans="6:12" s="36" customFormat="1" x14ac:dyDescent="0.25">
      <c r="F610" s="52"/>
      <c r="G610" s="37"/>
      <c r="H610" s="37"/>
      <c r="I610" s="38"/>
      <c r="J610" s="37"/>
      <c r="K610" s="37"/>
      <c r="L610" s="38"/>
    </row>
    <row r="611" spans="6:12" s="36" customFormat="1" x14ac:dyDescent="0.25">
      <c r="F611" s="52"/>
      <c r="G611" s="37"/>
      <c r="H611" s="37"/>
      <c r="I611" s="38"/>
      <c r="J611" s="37"/>
      <c r="K611" s="37"/>
      <c r="L611" s="38"/>
    </row>
    <row r="612" spans="6:12" s="36" customFormat="1" x14ac:dyDescent="0.25">
      <c r="F612" s="52"/>
      <c r="G612" s="37"/>
      <c r="H612" s="37"/>
      <c r="I612" s="38"/>
      <c r="J612" s="37"/>
      <c r="K612" s="37"/>
      <c r="L612" s="38"/>
    </row>
    <row r="613" spans="6:12" s="36" customFormat="1" x14ac:dyDescent="0.25">
      <c r="F613" s="52"/>
      <c r="G613" s="37"/>
      <c r="H613" s="37"/>
      <c r="I613" s="38"/>
      <c r="J613" s="37"/>
      <c r="K613" s="37"/>
      <c r="L613" s="38"/>
    </row>
    <row r="614" spans="6:12" s="36" customFormat="1" x14ac:dyDescent="0.25">
      <c r="F614" s="52"/>
      <c r="G614" s="37"/>
      <c r="H614" s="37"/>
      <c r="I614" s="38"/>
      <c r="J614" s="37"/>
      <c r="K614" s="37"/>
      <c r="L614" s="38"/>
    </row>
    <row r="615" spans="6:12" s="36" customFormat="1" x14ac:dyDescent="0.25">
      <c r="F615" s="52"/>
      <c r="G615" s="37"/>
      <c r="H615" s="37"/>
      <c r="I615" s="38"/>
      <c r="J615" s="37"/>
      <c r="K615" s="37"/>
      <c r="L615" s="38"/>
    </row>
    <row r="616" spans="6:12" s="36" customFormat="1" x14ac:dyDescent="0.25">
      <c r="F616" s="52"/>
      <c r="G616" s="37"/>
      <c r="H616" s="37"/>
      <c r="I616" s="38"/>
      <c r="J616" s="37"/>
      <c r="K616" s="37"/>
      <c r="L616" s="38"/>
    </row>
    <row r="617" spans="6:12" s="36" customFormat="1" x14ac:dyDescent="0.25">
      <c r="F617" s="52"/>
      <c r="G617" s="37"/>
      <c r="H617" s="37"/>
      <c r="I617" s="38"/>
      <c r="J617" s="37"/>
      <c r="K617" s="37"/>
      <c r="L617" s="38"/>
    </row>
    <row r="618" spans="6:12" s="36" customFormat="1" x14ac:dyDescent="0.25">
      <c r="F618" s="52"/>
      <c r="G618" s="37"/>
      <c r="H618" s="37"/>
      <c r="I618" s="38"/>
      <c r="J618" s="37"/>
      <c r="K618" s="37"/>
      <c r="L618" s="38"/>
    </row>
    <row r="619" spans="6:12" s="36" customFormat="1" x14ac:dyDescent="0.25">
      <c r="F619" s="52"/>
      <c r="G619" s="37"/>
      <c r="H619" s="37"/>
      <c r="I619" s="38"/>
      <c r="J619" s="37"/>
      <c r="K619" s="37"/>
      <c r="L619" s="38"/>
    </row>
    <row r="620" spans="6:12" s="36" customFormat="1" x14ac:dyDescent="0.25">
      <c r="F620" s="52"/>
      <c r="G620" s="37"/>
      <c r="H620" s="37"/>
      <c r="I620" s="38"/>
      <c r="J620" s="37"/>
      <c r="K620" s="37"/>
      <c r="L620" s="38"/>
    </row>
    <row r="621" spans="6:12" s="36" customFormat="1" x14ac:dyDescent="0.25">
      <c r="F621" s="52"/>
      <c r="G621" s="37"/>
      <c r="H621" s="37"/>
      <c r="I621" s="38"/>
      <c r="J621" s="37"/>
      <c r="K621" s="37"/>
      <c r="L621" s="38"/>
    </row>
    <row r="622" spans="6:12" s="36" customFormat="1" x14ac:dyDescent="0.25">
      <c r="F622" s="52"/>
      <c r="G622" s="37"/>
      <c r="H622" s="37"/>
      <c r="I622" s="38"/>
      <c r="J622" s="37"/>
      <c r="K622" s="37"/>
      <c r="L622" s="38"/>
    </row>
    <row r="623" spans="6:12" s="36" customFormat="1" x14ac:dyDescent="0.25">
      <c r="F623" s="52"/>
      <c r="G623" s="37"/>
      <c r="H623" s="37"/>
      <c r="I623" s="38"/>
      <c r="J623" s="37"/>
      <c r="K623" s="37"/>
      <c r="L623" s="38"/>
    </row>
    <row r="624" spans="6:12" s="36" customFormat="1" x14ac:dyDescent="0.25">
      <c r="F624" s="52"/>
      <c r="G624" s="37"/>
      <c r="H624" s="37"/>
      <c r="I624" s="38"/>
      <c r="J624" s="37"/>
      <c r="K624" s="37"/>
      <c r="L624" s="38"/>
    </row>
    <row r="625" spans="6:12" s="36" customFormat="1" x14ac:dyDescent="0.25">
      <c r="F625" s="52"/>
      <c r="G625" s="37"/>
      <c r="H625" s="37"/>
      <c r="I625" s="38"/>
      <c r="J625" s="37"/>
      <c r="K625" s="37"/>
      <c r="L625" s="38"/>
    </row>
    <row r="626" spans="6:12" s="36" customFormat="1" x14ac:dyDescent="0.25">
      <c r="F626" s="52"/>
      <c r="G626" s="37"/>
      <c r="H626" s="37"/>
      <c r="I626" s="38"/>
      <c r="J626" s="37"/>
      <c r="K626" s="37"/>
      <c r="L626" s="38"/>
    </row>
    <row r="627" spans="6:12" s="36" customFormat="1" x14ac:dyDescent="0.25">
      <c r="F627" s="52"/>
      <c r="G627" s="37"/>
      <c r="H627" s="37"/>
      <c r="I627" s="38"/>
      <c r="J627" s="37"/>
      <c r="K627" s="37"/>
      <c r="L627" s="38"/>
    </row>
    <row r="628" spans="6:12" s="36" customFormat="1" x14ac:dyDescent="0.25">
      <c r="F628" s="52"/>
      <c r="G628" s="37"/>
      <c r="H628" s="37"/>
      <c r="I628" s="38"/>
      <c r="J628" s="37"/>
      <c r="K628" s="37"/>
      <c r="L628" s="38"/>
    </row>
    <row r="629" spans="6:12" s="36" customFormat="1" x14ac:dyDescent="0.25">
      <c r="F629" s="52"/>
      <c r="G629" s="37"/>
      <c r="H629" s="37"/>
      <c r="I629" s="38"/>
      <c r="J629" s="37"/>
      <c r="K629" s="37"/>
      <c r="L629" s="38"/>
    </row>
    <row r="630" spans="6:12" s="36" customFormat="1" x14ac:dyDescent="0.25">
      <c r="F630" s="52"/>
      <c r="G630" s="37"/>
      <c r="H630" s="37"/>
      <c r="I630" s="38"/>
      <c r="J630" s="37"/>
      <c r="K630" s="37"/>
      <c r="L630" s="38"/>
    </row>
    <row r="631" spans="6:12" s="36" customFormat="1" x14ac:dyDescent="0.25">
      <c r="F631" s="52"/>
      <c r="G631" s="37"/>
      <c r="H631" s="37"/>
      <c r="I631" s="38"/>
      <c r="J631" s="37"/>
      <c r="K631" s="37"/>
      <c r="L631" s="38"/>
    </row>
    <row r="632" spans="6:12" s="36" customFormat="1" x14ac:dyDescent="0.25">
      <c r="F632" s="52"/>
      <c r="G632" s="37"/>
      <c r="H632" s="37"/>
      <c r="I632" s="38"/>
      <c r="J632" s="37"/>
      <c r="K632" s="37"/>
      <c r="L632" s="38"/>
    </row>
    <row r="633" spans="6:12" s="36" customFormat="1" x14ac:dyDescent="0.25">
      <c r="F633" s="52"/>
      <c r="G633" s="37"/>
      <c r="H633" s="37"/>
      <c r="I633" s="38"/>
      <c r="J633" s="37"/>
      <c r="K633" s="37"/>
      <c r="L633" s="38"/>
    </row>
    <row r="634" spans="6:12" s="36" customFormat="1" x14ac:dyDescent="0.25">
      <c r="F634" s="52"/>
      <c r="G634" s="37"/>
      <c r="H634" s="37"/>
      <c r="I634" s="38"/>
      <c r="J634" s="37"/>
      <c r="K634" s="37"/>
      <c r="L634" s="38"/>
    </row>
    <row r="635" spans="6:12" s="36" customFormat="1" x14ac:dyDescent="0.25">
      <c r="F635" s="52"/>
      <c r="G635" s="37"/>
      <c r="H635" s="37"/>
      <c r="I635" s="38"/>
      <c r="J635" s="37"/>
      <c r="K635" s="37"/>
      <c r="L635" s="38"/>
    </row>
    <row r="636" spans="6:12" s="36" customFormat="1" x14ac:dyDescent="0.25">
      <c r="F636" s="52"/>
      <c r="G636" s="37"/>
      <c r="H636" s="37"/>
      <c r="I636" s="38"/>
      <c r="J636" s="37"/>
      <c r="K636" s="37"/>
      <c r="L636" s="38"/>
    </row>
    <row r="637" spans="6:12" s="36" customFormat="1" x14ac:dyDescent="0.25">
      <c r="F637" s="52"/>
      <c r="G637" s="37"/>
      <c r="H637" s="37"/>
      <c r="I637" s="38"/>
      <c r="J637" s="37"/>
      <c r="K637" s="37"/>
      <c r="L637" s="38"/>
    </row>
    <row r="638" spans="6:12" s="36" customFormat="1" x14ac:dyDescent="0.25">
      <c r="F638" s="52"/>
      <c r="G638" s="37"/>
      <c r="H638" s="37"/>
      <c r="I638" s="38"/>
      <c r="J638" s="37"/>
      <c r="K638" s="37"/>
      <c r="L638" s="38"/>
    </row>
    <row r="639" spans="6:12" s="36" customFormat="1" x14ac:dyDescent="0.25">
      <c r="F639" s="52"/>
      <c r="G639" s="37"/>
      <c r="H639" s="37"/>
      <c r="I639" s="38"/>
      <c r="J639" s="37"/>
      <c r="K639" s="37"/>
      <c r="L639" s="38"/>
    </row>
    <row r="640" spans="6:12" s="36" customFormat="1" x14ac:dyDescent="0.25">
      <c r="F640" s="52"/>
      <c r="G640" s="37"/>
      <c r="H640" s="37"/>
      <c r="I640" s="38"/>
      <c r="J640" s="37"/>
      <c r="K640" s="37"/>
      <c r="L640" s="38"/>
    </row>
    <row r="641" spans="6:12" s="36" customFormat="1" x14ac:dyDescent="0.25">
      <c r="F641" s="52"/>
      <c r="G641" s="37"/>
      <c r="H641" s="37"/>
      <c r="I641" s="38"/>
      <c r="J641" s="37"/>
      <c r="K641" s="37"/>
      <c r="L641" s="38"/>
    </row>
    <row r="642" spans="6:12" s="36" customFormat="1" x14ac:dyDescent="0.25">
      <c r="F642" s="52"/>
      <c r="G642" s="37"/>
      <c r="H642" s="37"/>
      <c r="I642" s="38"/>
      <c r="J642" s="37"/>
      <c r="K642" s="37"/>
      <c r="L642" s="38"/>
    </row>
    <row r="643" spans="6:12" s="36" customFormat="1" x14ac:dyDescent="0.25">
      <c r="F643" s="52"/>
      <c r="G643" s="37"/>
      <c r="H643" s="37"/>
      <c r="I643" s="38"/>
      <c r="J643" s="37"/>
      <c r="K643" s="37"/>
      <c r="L643" s="38"/>
    </row>
    <row r="644" spans="6:12" s="36" customFormat="1" x14ac:dyDescent="0.25">
      <c r="F644" s="52"/>
      <c r="G644" s="37"/>
      <c r="H644" s="37"/>
      <c r="I644" s="38"/>
      <c r="J644" s="37"/>
      <c r="K644" s="37"/>
      <c r="L644" s="38"/>
    </row>
    <row r="645" spans="6:12" s="36" customFormat="1" x14ac:dyDescent="0.25">
      <c r="F645" s="52"/>
      <c r="G645" s="37"/>
      <c r="H645" s="37"/>
      <c r="I645" s="38"/>
      <c r="J645" s="37"/>
      <c r="K645" s="37"/>
      <c r="L645" s="38"/>
    </row>
    <row r="646" spans="6:12" s="36" customFormat="1" x14ac:dyDescent="0.25">
      <c r="F646" s="52"/>
      <c r="G646" s="37"/>
      <c r="H646" s="37"/>
      <c r="I646" s="38"/>
      <c r="J646" s="37"/>
      <c r="K646" s="37"/>
      <c r="L646" s="38"/>
    </row>
    <row r="647" spans="6:12" s="36" customFormat="1" x14ac:dyDescent="0.25">
      <c r="F647" s="52"/>
      <c r="G647" s="37"/>
      <c r="H647" s="37"/>
      <c r="I647" s="38"/>
      <c r="J647" s="37"/>
      <c r="K647" s="37"/>
      <c r="L647" s="38"/>
    </row>
    <row r="648" spans="6:12" s="36" customFormat="1" x14ac:dyDescent="0.25">
      <c r="F648" s="52"/>
      <c r="G648" s="37"/>
      <c r="H648" s="37"/>
      <c r="I648" s="38"/>
      <c r="J648" s="37"/>
      <c r="K648" s="37"/>
      <c r="L648" s="38"/>
    </row>
    <row r="649" spans="6:12" s="36" customFormat="1" x14ac:dyDescent="0.25">
      <c r="F649" s="52"/>
      <c r="G649" s="37"/>
      <c r="H649" s="37"/>
      <c r="I649" s="38"/>
      <c r="J649" s="37"/>
      <c r="K649" s="37"/>
      <c r="L649" s="38"/>
    </row>
    <row r="650" spans="6:12" s="36" customFormat="1" x14ac:dyDescent="0.25">
      <c r="F650" s="52"/>
      <c r="G650" s="37"/>
      <c r="H650" s="37"/>
      <c r="I650" s="38"/>
      <c r="J650" s="37"/>
      <c r="K650" s="37"/>
      <c r="L650" s="38"/>
    </row>
    <row r="651" spans="6:12" s="36" customFormat="1" x14ac:dyDescent="0.25">
      <c r="F651" s="52"/>
      <c r="G651" s="37"/>
      <c r="H651" s="37"/>
      <c r="I651" s="38"/>
      <c r="J651" s="37"/>
      <c r="K651" s="37"/>
      <c r="L651" s="38"/>
    </row>
    <row r="652" spans="6:12" s="36" customFormat="1" x14ac:dyDescent="0.25">
      <c r="F652" s="52"/>
      <c r="G652" s="37"/>
      <c r="H652" s="37"/>
      <c r="I652" s="38"/>
      <c r="J652" s="37"/>
      <c r="K652" s="37"/>
      <c r="L652" s="38"/>
    </row>
    <row r="653" spans="6:12" s="36" customFormat="1" x14ac:dyDescent="0.25">
      <c r="F653" s="52"/>
      <c r="G653" s="37"/>
      <c r="H653" s="37"/>
      <c r="I653" s="38"/>
      <c r="J653" s="37"/>
      <c r="K653" s="37"/>
      <c r="L653" s="38"/>
    </row>
    <row r="654" spans="6:12" s="36" customFormat="1" x14ac:dyDescent="0.25">
      <c r="F654" s="52"/>
      <c r="G654" s="37"/>
      <c r="H654" s="37"/>
      <c r="I654" s="38"/>
      <c r="J654" s="37"/>
      <c r="K654" s="37"/>
      <c r="L654" s="38"/>
    </row>
    <row r="655" spans="6:12" s="36" customFormat="1" x14ac:dyDescent="0.25">
      <c r="F655" s="52"/>
      <c r="G655" s="37"/>
      <c r="H655" s="37"/>
      <c r="I655" s="38"/>
      <c r="J655" s="37"/>
      <c r="K655" s="37"/>
      <c r="L655" s="38"/>
    </row>
    <row r="656" spans="6:12" s="36" customFormat="1" x14ac:dyDescent="0.25">
      <c r="F656" s="52"/>
      <c r="G656" s="37"/>
      <c r="H656" s="37"/>
      <c r="I656" s="38"/>
      <c r="J656" s="37"/>
      <c r="K656" s="37"/>
      <c r="L656" s="38"/>
    </row>
    <row r="657" spans="6:12" s="36" customFormat="1" x14ac:dyDescent="0.25">
      <c r="F657" s="52"/>
      <c r="G657" s="37"/>
      <c r="H657" s="37"/>
      <c r="I657" s="38"/>
      <c r="J657" s="37"/>
      <c r="K657" s="37"/>
      <c r="L657" s="38"/>
    </row>
    <row r="658" spans="6:12" s="36" customFormat="1" x14ac:dyDescent="0.25">
      <c r="F658" s="52"/>
      <c r="G658" s="37"/>
      <c r="H658" s="37"/>
      <c r="I658" s="38"/>
      <c r="J658" s="37"/>
      <c r="K658" s="37"/>
      <c r="L658" s="38"/>
    </row>
    <row r="659" spans="6:12" s="36" customFormat="1" x14ac:dyDescent="0.25">
      <c r="F659" s="52"/>
      <c r="G659" s="37"/>
      <c r="H659" s="37"/>
      <c r="I659" s="38"/>
      <c r="J659" s="37"/>
      <c r="K659" s="37"/>
      <c r="L659" s="38"/>
    </row>
    <row r="660" spans="6:12" s="36" customFormat="1" x14ac:dyDescent="0.25">
      <c r="F660" s="52"/>
      <c r="G660" s="37"/>
      <c r="H660" s="37"/>
      <c r="I660" s="38"/>
      <c r="J660" s="37"/>
      <c r="K660" s="37"/>
      <c r="L660" s="38"/>
    </row>
    <row r="661" spans="6:12" s="36" customFormat="1" x14ac:dyDescent="0.25">
      <c r="F661" s="52"/>
      <c r="G661" s="37"/>
      <c r="H661" s="37"/>
      <c r="I661" s="38"/>
      <c r="J661" s="37"/>
      <c r="K661" s="37"/>
      <c r="L661" s="38"/>
    </row>
    <row r="662" spans="6:12" s="36" customFormat="1" x14ac:dyDescent="0.25">
      <c r="F662" s="52"/>
      <c r="G662" s="37"/>
      <c r="H662" s="37"/>
      <c r="I662" s="38"/>
      <c r="J662" s="37"/>
      <c r="K662" s="37"/>
      <c r="L662" s="38"/>
    </row>
    <row r="663" spans="6:12" s="36" customFormat="1" x14ac:dyDescent="0.25">
      <c r="F663" s="52"/>
      <c r="G663" s="37"/>
      <c r="H663" s="37"/>
      <c r="I663" s="38"/>
      <c r="J663" s="37"/>
      <c r="K663" s="37"/>
      <c r="L663" s="38"/>
    </row>
    <row r="664" spans="6:12" s="36" customFormat="1" x14ac:dyDescent="0.25">
      <c r="F664" s="52"/>
      <c r="G664" s="37"/>
      <c r="H664" s="37"/>
      <c r="I664" s="38"/>
      <c r="J664" s="37"/>
      <c r="K664" s="37"/>
      <c r="L664" s="38"/>
    </row>
    <row r="665" spans="6:12" s="36" customFormat="1" x14ac:dyDescent="0.25">
      <c r="F665" s="52"/>
      <c r="G665" s="37"/>
      <c r="H665" s="37"/>
      <c r="I665" s="38"/>
      <c r="J665" s="37"/>
      <c r="K665" s="37"/>
      <c r="L665" s="38"/>
    </row>
    <row r="666" spans="6:12" s="36" customFormat="1" x14ac:dyDescent="0.25">
      <c r="F666" s="52"/>
      <c r="G666" s="37"/>
      <c r="H666" s="37"/>
      <c r="I666" s="38"/>
      <c r="J666" s="37"/>
      <c r="K666" s="37"/>
      <c r="L666" s="38"/>
    </row>
    <row r="667" spans="6:12" s="36" customFormat="1" x14ac:dyDescent="0.25">
      <c r="F667" s="52"/>
      <c r="G667" s="37"/>
      <c r="H667" s="37"/>
      <c r="I667" s="38"/>
      <c r="J667" s="37"/>
      <c r="K667" s="37"/>
      <c r="L667" s="38"/>
    </row>
    <row r="668" spans="6:12" s="36" customFormat="1" x14ac:dyDescent="0.25">
      <c r="F668" s="52"/>
      <c r="G668" s="37"/>
      <c r="H668" s="37"/>
      <c r="I668" s="38"/>
      <c r="J668" s="37"/>
      <c r="K668" s="37"/>
      <c r="L668" s="38"/>
    </row>
    <row r="669" spans="6:12" s="36" customFormat="1" x14ac:dyDescent="0.25">
      <c r="F669" s="52"/>
      <c r="G669" s="37"/>
      <c r="H669" s="37"/>
      <c r="I669" s="38"/>
      <c r="J669" s="37"/>
      <c r="K669" s="37"/>
      <c r="L669" s="38"/>
    </row>
    <row r="670" spans="6:12" s="36" customFormat="1" x14ac:dyDescent="0.25">
      <c r="F670" s="52"/>
      <c r="G670" s="37"/>
      <c r="H670" s="37"/>
      <c r="I670" s="38"/>
      <c r="J670" s="37"/>
      <c r="K670" s="37"/>
      <c r="L670" s="38"/>
    </row>
    <row r="671" spans="6:12" s="36" customFormat="1" x14ac:dyDescent="0.25">
      <c r="F671" s="52"/>
      <c r="G671" s="37"/>
      <c r="H671" s="37"/>
      <c r="I671" s="38"/>
      <c r="J671" s="37"/>
      <c r="K671" s="37"/>
      <c r="L671" s="38"/>
    </row>
    <row r="672" spans="6:12" s="36" customFormat="1" x14ac:dyDescent="0.25">
      <c r="F672" s="52"/>
      <c r="G672" s="37"/>
      <c r="H672" s="37"/>
      <c r="I672" s="38"/>
      <c r="J672" s="37"/>
      <c r="K672" s="37"/>
      <c r="L672" s="38"/>
    </row>
    <row r="673" spans="6:12" s="36" customFormat="1" x14ac:dyDescent="0.25">
      <c r="F673" s="52"/>
      <c r="G673" s="37"/>
      <c r="H673" s="37"/>
      <c r="I673" s="38"/>
      <c r="J673" s="37"/>
      <c r="K673" s="37"/>
      <c r="L673" s="38"/>
    </row>
    <row r="674" spans="6:12" s="36" customFormat="1" x14ac:dyDescent="0.25">
      <c r="F674" s="52"/>
      <c r="G674" s="37"/>
      <c r="H674" s="37"/>
      <c r="I674" s="38"/>
      <c r="J674" s="37"/>
      <c r="K674" s="37"/>
      <c r="L674" s="38"/>
    </row>
    <row r="675" spans="6:12" s="36" customFormat="1" x14ac:dyDescent="0.25">
      <c r="F675" s="52"/>
      <c r="G675" s="37"/>
      <c r="H675" s="37"/>
      <c r="I675" s="38"/>
      <c r="J675" s="37"/>
      <c r="K675" s="37"/>
      <c r="L675" s="38"/>
    </row>
    <row r="676" spans="6:12" s="36" customFormat="1" x14ac:dyDescent="0.25">
      <c r="F676" s="52"/>
      <c r="G676" s="37"/>
      <c r="H676" s="37"/>
      <c r="I676" s="38"/>
      <c r="J676" s="37"/>
      <c r="K676" s="37"/>
      <c r="L676" s="38"/>
    </row>
    <row r="677" spans="6:12" s="36" customFormat="1" x14ac:dyDescent="0.25">
      <c r="F677" s="52"/>
      <c r="G677" s="37"/>
      <c r="H677" s="37"/>
      <c r="I677" s="38"/>
      <c r="J677" s="37"/>
      <c r="K677" s="37"/>
      <c r="L677" s="38"/>
    </row>
    <row r="678" spans="6:12" s="36" customFormat="1" x14ac:dyDescent="0.25">
      <c r="F678" s="52"/>
      <c r="G678" s="37"/>
      <c r="H678" s="37"/>
      <c r="I678" s="38"/>
      <c r="J678" s="37"/>
      <c r="K678" s="37"/>
      <c r="L678" s="38"/>
    </row>
    <row r="679" spans="6:12" s="36" customFormat="1" x14ac:dyDescent="0.25">
      <c r="F679" s="52"/>
      <c r="G679" s="37"/>
      <c r="H679" s="37"/>
      <c r="I679" s="38"/>
      <c r="J679" s="37"/>
      <c r="K679" s="37"/>
      <c r="L679" s="38"/>
    </row>
    <row r="680" spans="6:12" s="36" customFormat="1" x14ac:dyDescent="0.25">
      <c r="F680" s="52"/>
      <c r="G680" s="37"/>
      <c r="H680" s="37"/>
      <c r="I680" s="38"/>
      <c r="J680" s="37"/>
      <c r="K680" s="37"/>
      <c r="L680" s="38"/>
    </row>
    <row r="681" spans="6:12" s="36" customFormat="1" x14ac:dyDescent="0.25">
      <c r="F681" s="52"/>
      <c r="G681" s="37"/>
      <c r="H681" s="37"/>
      <c r="I681" s="38"/>
      <c r="J681" s="37"/>
      <c r="K681" s="37"/>
      <c r="L681" s="38"/>
    </row>
    <row r="682" spans="6:12" s="36" customFormat="1" x14ac:dyDescent="0.25">
      <c r="F682" s="52"/>
      <c r="G682" s="37"/>
      <c r="H682" s="37"/>
      <c r="I682" s="38"/>
      <c r="J682" s="37"/>
      <c r="K682" s="37"/>
      <c r="L682" s="38"/>
    </row>
    <row r="683" spans="6:12" s="36" customFormat="1" x14ac:dyDescent="0.25">
      <c r="F683" s="52"/>
      <c r="G683" s="37"/>
      <c r="H683" s="37"/>
      <c r="I683" s="38"/>
      <c r="J683" s="37"/>
      <c r="K683" s="37"/>
      <c r="L683" s="38"/>
    </row>
    <row r="684" spans="6:12" s="36" customFormat="1" x14ac:dyDescent="0.25">
      <c r="F684" s="52"/>
      <c r="G684" s="37"/>
      <c r="H684" s="37"/>
      <c r="I684" s="38"/>
      <c r="J684" s="37"/>
      <c r="K684" s="37"/>
      <c r="L684" s="38"/>
    </row>
    <row r="685" spans="6:12" s="36" customFormat="1" x14ac:dyDescent="0.25">
      <c r="F685" s="52"/>
      <c r="G685" s="37"/>
      <c r="H685" s="37"/>
      <c r="I685" s="38"/>
      <c r="J685" s="37"/>
      <c r="K685" s="37"/>
      <c r="L685" s="38"/>
    </row>
    <row r="686" spans="6:12" s="36" customFormat="1" x14ac:dyDescent="0.25">
      <c r="F686" s="52"/>
      <c r="G686" s="37"/>
      <c r="H686" s="37"/>
      <c r="I686" s="38"/>
      <c r="J686" s="37"/>
      <c r="K686" s="37"/>
      <c r="L686" s="38"/>
    </row>
    <row r="687" spans="6:12" s="36" customFormat="1" x14ac:dyDescent="0.25">
      <c r="F687" s="52"/>
      <c r="G687" s="37"/>
      <c r="H687" s="37"/>
      <c r="I687" s="38"/>
      <c r="J687" s="37"/>
      <c r="K687" s="37"/>
      <c r="L687" s="38"/>
    </row>
    <row r="688" spans="6:12" s="36" customFormat="1" x14ac:dyDescent="0.25">
      <c r="F688" s="52"/>
      <c r="G688" s="37"/>
      <c r="H688" s="37"/>
      <c r="I688" s="38"/>
      <c r="J688" s="37"/>
      <c r="K688" s="37"/>
      <c r="L688" s="38"/>
    </row>
    <row r="689" spans="6:12" s="36" customFormat="1" x14ac:dyDescent="0.25">
      <c r="F689" s="52"/>
      <c r="G689" s="37"/>
      <c r="H689" s="37"/>
      <c r="I689" s="38"/>
      <c r="J689" s="37"/>
      <c r="K689" s="37"/>
      <c r="L689" s="38"/>
    </row>
    <row r="690" spans="6:12" s="36" customFormat="1" x14ac:dyDescent="0.25">
      <c r="F690" s="52"/>
      <c r="G690" s="37"/>
      <c r="H690" s="37"/>
      <c r="I690" s="38"/>
      <c r="J690" s="37"/>
      <c r="K690" s="37"/>
      <c r="L690" s="38"/>
    </row>
    <row r="691" spans="6:12" s="36" customFormat="1" x14ac:dyDescent="0.25">
      <c r="F691" s="52"/>
      <c r="G691" s="37"/>
      <c r="H691" s="37"/>
      <c r="I691" s="38"/>
      <c r="J691" s="37"/>
      <c r="K691" s="37"/>
      <c r="L691" s="38"/>
    </row>
    <row r="692" spans="6:12" s="36" customFormat="1" x14ac:dyDescent="0.25">
      <c r="F692" s="52"/>
      <c r="G692" s="37"/>
      <c r="H692" s="37"/>
      <c r="I692" s="38"/>
      <c r="J692" s="37"/>
      <c r="K692" s="37"/>
      <c r="L692" s="38"/>
    </row>
    <row r="693" spans="6:12" s="36" customFormat="1" x14ac:dyDescent="0.25">
      <c r="F693" s="52"/>
      <c r="G693" s="37"/>
      <c r="H693" s="37"/>
      <c r="I693" s="38"/>
      <c r="J693" s="37"/>
      <c r="K693" s="37"/>
      <c r="L693" s="38"/>
    </row>
    <row r="694" spans="6:12" s="36" customFormat="1" x14ac:dyDescent="0.25">
      <c r="F694" s="52"/>
      <c r="G694" s="37"/>
      <c r="H694" s="37"/>
      <c r="I694" s="38"/>
      <c r="J694" s="37"/>
      <c r="K694" s="37"/>
      <c r="L694" s="38"/>
    </row>
    <row r="695" spans="6:12" s="36" customFormat="1" x14ac:dyDescent="0.25">
      <c r="F695" s="52"/>
      <c r="G695" s="37"/>
      <c r="H695" s="37"/>
      <c r="I695" s="38"/>
      <c r="J695" s="37"/>
      <c r="K695" s="37"/>
      <c r="L695" s="38"/>
    </row>
    <row r="696" spans="6:12" s="36" customFormat="1" x14ac:dyDescent="0.25">
      <c r="F696" s="52"/>
      <c r="G696" s="37"/>
      <c r="H696" s="37"/>
      <c r="I696" s="38"/>
      <c r="J696" s="37"/>
      <c r="K696" s="37"/>
      <c r="L696" s="38"/>
    </row>
    <row r="697" spans="6:12" s="36" customFormat="1" x14ac:dyDescent="0.25">
      <c r="F697" s="52"/>
      <c r="G697" s="37"/>
      <c r="H697" s="37"/>
      <c r="I697" s="38"/>
      <c r="J697" s="37"/>
      <c r="K697" s="37"/>
      <c r="L697" s="38"/>
    </row>
    <row r="698" spans="6:12" s="36" customFormat="1" x14ac:dyDescent="0.25">
      <c r="F698" s="52"/>
      <c r="G698" s="37"/>
      <c r="H698" s="37"/>
      <c r="I698" s="38"/>
      <c r="J698" s="37"/>
      <c r="K698" s="37"/>
      <c r="L698" s="38"/>
    </row>
    <row r="699" spans="6:12" s="36" customFormat="1" x14ac:dyDescent="0.25">
      <c r="F699" s="52"/>
      <c r="G699" s="37"/>
      <c r="H699" s="37"/>
      <c r="I699" s="38"/>
      <c r="J699" s="37"/>
      <c r="K699" s="37"/>
      <c r="L699" s="38"/>
    </row>
    <row r="700" spans="6:12" s="36" customFormat="1" x14ac:dyDescent="0.25">
      <c r="F700" s="52"/>
      <c r="G700" s="37"/>
      <c r="H700" s="37"/>
      <c r="I700" s="38"/>
      <c r="J700" s="37"/>
      <c r="K700" s="37"/>
      <c r="L700" s="38"/>
    </row>
    <row r="701" spans="6:12" s="36" customFormat="1" x14ac:dyDescent="0.25">
      <c r="F701" s="52"/>
      <c r="G701" s="37"/>
      <c r="H701" s="37"/>
      <c r="I701" s="38"/>
      <c r="J701" s="37"/>
      <c r="K701" s="37"/>
      <c r="L701" s="38"/>
    </row>
    <row r="702" spans="6:12" s="36" customFormat="1" x14ac:dyDescent="0.25">
      <c r="F702" s="52"/>
      <c r="G702" s="37"/>
      <c r="H702" s="37"/>
      <c r="I702" s="38"/>
      <c r="J702" s="37"/>
      <c r="K702" s="37"/>
      <c r="L702" s="38"/>
    </row>
    <row r="703" spans="6:12" s="36" customFormat="1" x14ac:dyDescent="0.25">
      <c r="F703" s="52"/>
      <c r="G703" s="37"/>
      <c r="H703" s="37"/>
      <c r="I703" s="38"/>
      <c r="J703" s="37"/>
      <c r="K703" s="37"/>
      <c r="L703" s="38"/>
    </row>
    <row r="704" spans="6:12" s="36" customFormat="1" x14ac:dyDescent="0.25">
      <c r="F704" s="52"/>
      <c r="G704" s="37"/>
      <c r="H704" s="37"/>
      <c r="I704" s="38"/>
      <c r="J704" s="37"/>
      <c r="K704" s="37"/>
      <c r="L704" s="38"/>
    </row>
    <row r="705" spans="6:12" s="36" customFormat="1" x14ac:dyDescent="0.25">
      <c r="F705" s="52"/>
      <c r="G705" s="37"/>
      <c r="H705" s="37"/>
      <c r="I705" s="38"/>
      <c r="J705" s="37"/>
      <c r="K705" s="37"/>
      <c r="L705" s="38"/>
    </row>
    <row r="706" spans="6:12" s="36" customFormat="1" x14ac:dyDescent="0.25">
      <c r="F706" s="52"/>
      <c r="G706" s="37"/>
      <c r="H706" s="37"/>
      <c r="I706" s="38"/>
      <c r="J706" s="37"/>
      <c r="K706" s="37"/>
      <c r="L706" s="38"/>
    </row>
    <row r="707" spans="6:12" s="36" customFormat="1" x14ac:dyDescent="0.25">
      <c r="F707" s="52"/>
      <c r="G707" s="37"/>
      <c r="H707" s="37"/>
      <c r="I707" s="38"/>
      <c r="J707" s="37"/>
      <c r="K707" s="37"/>
      <c r="L707" s="38"/>
    </row>
    <row r="708" spans="6:12" s="36" customFormat="1" x14ac:dyDescent="0.25">
      <c r="F708" s="52"/>
      <c r="G708" s="37"/>
      <c r="H708" s="37"/>
      <c r="I708" s="38"/>
      <c r="J708" s="37"/>
      <c r="K708" s="37"/>
      <c r="L708" s="38"/>
    </row>
    <row r="709" spans="6:12" s="36" customFormat="1" x14ac:dyDescent="0.25">
      <c r="F709" s="52"/>
      <c r="G709" s="37"/>
      <c r="H709" s="37"/>
      <c r="I709" s="38"/>
      <c r="J709" s="37"/>
      <c r="K709" s="37"/>
      <c r="L709" s="38"/>
    </row>
    <row r="710" spans="6:12" s="36" customFormat="1" x14ac:dyDescent="0.25">
      <c r="F710" s="52"/>
      <c r="G710" s="37"/>
      <c r="H710" s="37"/>
      <c r="I710" s="38"/>
      <c r="J710" s="37"/>
      <c r="K710" s="37"/>
      <c r="L710" s="38"/>
    </row>
    <row r="711" spans="6:12" s="36" customFormat="1" x14ac:dyDescent="0.25">
      <c r="F711" s="52"/>
      <c r="G711" s="37"/>
      <c r="H711" s="37"/>
      <c r="I711" s="38"/>
      <c r="J711" s="37"/>
      <c r="K711" s="37"/>
      <c r="L711" s="38"/>
    </row>
    <row r="712" spans="6:12" s="36" customFormat="1" x14ac:dyDescent="0.25">
      <c r="F712" s="52"/>
      <c r="G712" s="37"/>
      <c r="H712" s="37"/>
      <c r="I712" s="38"/>
      <c r="J712" s="37"/>
      <c r="K712" s="37"/>
      <c r="L712" s="38"/>
    </row>
    <row r="713" spans="6:12" s="36" customFormat="1" x14ac:dyDescent="0.25">
      <c r="F713" s="52"/>
      <c r="G713" s="37"/>
      <c r="H713" s="37"/>
      <c r="I713" s="38"/>
      <c r="J713" s="37"/>
      <c r="K713" s="37"/>
      <c r="L713" s="38"/>
    </row>
    <row r="714" spans="6:12" s="36" customFormat="1" x14ac:dyDescent="0.25">
      <c r="F714" s="52"/>
      <c r="G714" s="37"/>
      <c r="H714" s="37"/>
      <c r="I714" s="38"/>
      <c r="J714" s="37"/>
      <c r="K714" s="37"/>
      <c r="L714" s="38"/>
    </row>
    <row r="715" spans="6:12" s="36" customFormat="1" x14ac:dyDescent="0.25">
      <c r="F715" s="52"/>
      <c r="G715" s="37"/>
      <c r="H715" s="37"/>
      <c r="I715" s="38"/>
      <c r="J715" s="37"/>
      <c r="K715" s="37"/>
      <c r="L715" s="38"/>
    </row>
    <row r="716" spans="6:12" s="36" customFormat="1" x14ac:dyDescent="0.25">
      <c r="F716" s="52"/>
      <c r="G716" s="37"/>
      <c r="H716" s="37"/>
      <c r="I716" s="38"/>
      <c r="J716" s="37"/>
      <c r="K716" s="37"/>
      <c r="L716" s="38"/>
    </row>
    <row r="717" spans="6:12" s="36" customFormat="1" x14ac:dyDescent="0.25">
      <c r="F717" s="52"/>
      <c r="G717" s="37"/>
      <c r="H717" s="37"/>
      <c r="I717" s="38"/>
      <c r="J717" s="37"/>
      <c r="K717" s="37"/>
      <c r="L717" s="38"/>
    </row>
    <row r="718" spans="6:12" s="36" customFormat="1" x14ac:dyDescent="0.25">
      <c r="F718" s="52"/>
      <c r="G718" s="37"/>
      <c r="H718" s="37"/>
      <c r="I718" s="38"/>
      <c r="J718" s="37"/>
      <c r="K718" s="37"/>
      <c r="L718" s="38"/>
    </row>
    <row r="719" spans="6:12" s="36" customFormat="1" x14ac:dyDescent="0.25">
      <c r="F719" s="52"/>
      <c r="G719" s="37"/>
      <c r="H719" s="37"/>
      <c r="I719" s="38"/>
      <c r="J719" s="37"/>
      <c r="K719" s="37"/>
      <c r="L719" s="38"/>
    </row>
    <row r="720" spans="6:12" s="36" customFormat="1" x14ac:dyDescent="0.25">
      <c r="F720" s="52"/>
      <c r="G720" s="37"/>
      <c r="H720" s="37"/>
      <c r="I720" s="38"/>
      <c r="J720" s="37"/>
      <c r="K720" s="37"/>
      <c r="L720" s="38"/>
    </row>
    <row r="721" spans="6:12" s="36" customFormat="1" x14ac:dyDescent="0.25">
      <c r="F721" s="52"/>
      <c r="G721" s="37"/>
      <c r="H721" s="37"/>
      <c r="I721" s="38"/>
      <c r="J721" s="37"/>
      <c r="K721" s="37"/>
      <c r="L721" s="38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P659"/>
  <sheetViews>
    <sheetView tabSelected="1" topLeftCell="B73" zoomScale="103" workbookViewId="0">
      <pane xSplit="1" topLeftCell="J1" activePane="topRight" state="frozen"/>
      <selection activeCell="B1" sqref="B1"/>
      <selection pane="topRight" activeCell="V73" sqref="V73"/>
    </sheetView>
  </sheetViews>
  <sheetFormatPr defaultRowHeight="15.75" x14ac:dyDescent="0.25"/>
  <cols>
    <col min="1" max="1" width="22.42578125" style="57" hidden="1" customWidth="1"/>
    <col min="2" max="2" width="23.140625" style="61" customWidth="1"/>
    <col min="3" max="4" width="36.140625" style="57" customWidth="1"/>
    <col min="5" max="5" width="45.140625" style="57" customWidth="1"/>
    <col min="6" max="6" width="13.5703125" style="57" bestFit="1" customWidth="1"/>
    <col min="7" max="7" width="16" style="57" customWidth="1"/>
    <col min="8" max="8" width="14.7109375" style="57" customWidth="1"/>
    <col min="9" max="9" width="9.140625" style="57"/>
    <col min="10" max="10" width="16.28515625" style="57" customWidth="1"/>
    <col min="11" max="11" width="23.85546875" style="57" customWidth="1"/>
    <col min="12" max="12" width="10" style="57" customWidth="1"/>
    <col min="13" max="13" width="9.5703125" style="57" customWidth="1"/>
    <col min="14" max="14" width="9.42578125" style="57" customWidth="1"/>
    <col min="15" max="15" width="10.42578125" style="57" customWidth="1"/>
    <col min="16" max="16" width="9" style="57" customWidth="1"/>
    <col min="17" max="17" width="9.42578125" style="57" customWidth="1"/>
    <col min="18" max="18" width="10.7109375" style="58" customWidth="1"/>
    <col min="19" max="19" width="8.85546875" style="143" customWidth="1"/>
    <col min="20" max="20" width="9.140625" style="149"/>
    <col min="21" max="21" width="9.140625" style="155"/>
    <col min="22" max="22" width="9.140625" style="125"/>
    <col min="23" max="23" width="9.140625" style="119"/>
    <col min="24" max="24" width="9.140625" style="114"/>
    <col min="25" max="25" width="9.140625" style="131"/>
    <col min="26" max="31" width="9.140625" style="57"/>
    <col min="32" max="32" width="26.42578125" style="57" customWidth="1"/>
    <col min="33" max="16384" width="9.140625" style="57"/>
  </cols>
  <sheetData>
    <row r="1" spans="1:42" s="59" customFormat="1" ht="58.5" x14ac:dyDescent="0.25">
      <c r="A1" s="60" t="s">
        <v>112</v>
      </c>
      <c r="B1" s="74" t="s">
        <v>153</v>
      </c>
      <c r="C1" s="74" t="s">
        <v>1</v>
      </c>
      <c r="D1" s="74" t="s">
        <v>543</v>
      </c>
      <c r="E1" s="74" t="s">
        <v>544</v>
      </c>
      <c r="F1" s="74" t="s">
        <v>278</v>
      </c>
      <c r="G1" s="74" t="s">
        <v>105</v>
      </c>
      <c r="H1" s="74" t="s">
        <v>39</v>
      </c>
      <c r="I1" s="74" t="s">
        <v>2</v>
      </c>
      <c r="J1" s="74" t="s">
        <v>154</v>
      </c>
      <c r="K1" s="74" t="s">
        <v>4</v>
      </c>
      <c r="L1" s="74" t="s">
        <v>684</v>
      </c>
      <c r="M1" s="74" t="s">
        <v>688</v>
      </c>
      <c r="N1" s="74" t="s">
        <v>689</v>
      </c>
      <c r="O1" s="74" t="s">
        <v>690</v>
      </c>
      <c r="P1" s="74" t="s">
        <v>691</v>
      </c>
      <c r="Q1" s="74" t="s">
        <v>692</v>
      </c>
      <c r="R1" s="133" t="s">
        <v>693</v>
      </c>
      <c r="S1" s="137" t="s">
        <v>694</v>
      </c>
      <c r="T1" s="144" t="s">
        <v>685</v>
      </c>
      <c r="U1" s="150">
        <v>4</v>
      </c>
      <c r="V1" s="77" t="s">
        <v>686</v>
      </c>
      <c r="W1" s="108" t="s">
        <v>687</v>
      </c>
      <c r="X1" s="107" t="s">
        <v>684</v>
      </c>
      <c r="Y1" s="126" t="s">
        <v>688</v>
      </c>
      <c r="Z1" s="77" t="s">
        <v>689</v>
      </c>
      <c r="AA1" s="77" t="s">
        <v>690</v>
      </c>
      <c r="AB1" s="77" t="s">
        <v>691</v>
      </c>
      <c r="AC1" s="77" t="s">
        <v>692</v>
      </c>
      <c r="AD1" s="77" t="s">
        <v>693</v>
      </c>
      <c r="AE1" s="77" t="s">
        <v>694</v>
      </c>
      <c r="AF1" s="74" t="s">
        <v>4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</row>
    <row r="2" spans="1:42" ht="19.5" x14ac:dyDescent="0.4">
      <c r="A2" s="57" t="s">
        <v>64</v>
      </c>
      <c r="B2" s="64" t="s">
        <v>113</v>
      </c>
      <c r="C2" s="65" t="s">
        <v>5</v>
      </c>
      <c r="D2" s="65" t="s">
        <v>643</v>
      </c>
      <c r="E2" s="65" t="s">
        <v>532</v>
      </c>
      <c r="F2" s="65" t="s">
        <v>106</v>
      </c>
      <c r="G2" s="65" t="s">
        <v>163</v>
      </c>
      <c r="H2" s="66">
        <v>45782</v>
      </c>
      <c r="I2" s="65" t="s">
        <v>157</v>
      </c>
      <c r="J2" s="67">
        <v>45941</v>
      </c>
      <c r="K2" s="65" t="s">
        <v>155</v>
      </c>
      <c r="L2" s="132">
        <v>1000</v>
      </c>
      <c r="M2" s="65"/>
      <c r="N2" s="65"/>
      <c r="O2" s="65"/>
      <c r="P2" s="65"/>
      <c r="Q2" s="65"/>
      <c r="R2" s="100"/>
      <c r="S2" s="138"/>
      <c r="T2" s="145"/>
      <c r="U2" s="151"/>
      <c r="V2" s="120"/>
      <c r="W2" s="115"/>
      <c r="X2" s="109"/>
      <c r="Y2" s="127"/>
      <c r="Z2" s="65"/>
      <c r="AA2" s="65"/>
      <c r="AB2" s="65"/>
      <c r="AC2" s="65"/>
      <c r="AD2" s="65"/>
      <c r="AE2" s="65"/>
      <c r="AF2" s="65"/>
    </row>
    <row r="3" spans="1:42" ht="19.5" x14ac:dyDescent="0.4">
      <c r="A3" s="57" t="s">
        <v>65</v>
      </c>
      <c r="B3" s="64" t="s">
        <v>114</v>
      </c>
      <c r="C3" s="65" t="s">
        <v>7</v>
      </c>
      <c r="D3" s="65" t="s">
        <v>598</v>
      </c>
      <c r="E3" s="65" t="s">
        <v>599</v>
      </c>
      <c r="F3" s="65" t="s">
        <v>106</v>
      </c>
      <c r="G3" s="65" t="s">
        <v>163</v>
      </c>
      <c r="H3" s="66">
        <v>45782</v>
      </c>
      <c r="I3" s="65" t="s">
        <v>156</v>
      </c>
      <c r="J3" s="65" t="s">
        <v>477</v>
      </c>
      <c r="K3" s="65" t="s">
        <v>158</v>
      </c>
      <c r="L3" s="132">
        <v>21000</v>
      </c>
      <c r="M3" s="132">
        <v>30000</v>
      </c>
      <c r="N3" s="65"/>
      <c r="O3" s="65"/>
      <c r="P3" s="65"/>
      <c r="Q3" s="65"/>
      <c r="R3" s="100"/>
      <c r="S3" s="138"/>
      <c r="T3" s="146">
        <v>30000</v>
      </c>
      <c r="U3" s="151"/>
      <c r="V3" s="120"/>
      <c r="W3" s="115"/>
      <c r="X3" s="109"/>
      <c r="Y3" s="127"/>
      <c r="Z3" s="65"/>
      <c r="AA3" s="65"/>
      <c r="AB3" s="65"/>
      <c r="AC3" s="65"/>
      <c r="AD3" s="65"/>
      <c r="AE3" s="65"/>
      <c r="AF3" s="65" t="s">
        <v>763</v>
      </c>
    </row>
    <row r="4" spans="1:42" ht="19.5" x14ac:dyDescent="0.4">
      <c r="A4" s="57" t="s">
        <v>66</v>
      </c>
      <c r="B4" s="64" t="s">
        <v>115</v>
      </c>
      <c r="C4" s="65" t="s">
        <v>8</v>
      </c>
      <c r="D4" s="65" t="s">
        <v>619</v>
      </c>
      <c r="E4" s="65" t="s">
        <v>532</v>
      </c>
      <c r="F4" s="65" t="s">
        <v>106</v>
      </c>
      <c r="G4" s="65" t="s">
        <v>163</v>
      </c>
      <c r="H4" s="66" t="s">
        <v>776</v>
      </c>
      <c r="I4" s="65" t="s">
        <v>159</v>
      </c>
      <c r="J4" s="66">
        <v>46093</v>
      </c>
      <c r="K4" s="65" t="s">
        <v>155</v>
      </c>
      <c r="L4" s="132">
        <v>1000</v>
      </c>
      <c r="M4" s="65"/>
      <c r="N4" s="65"/>
      <c r="O4" s="65"/>
      <c r="P4" s="65"/>
      <c r="Q4" s="65"/>
      <c r="R4" s="100"/>
      <c r="S4" s="138"/>
      <c r="T4" s="145"/>
      <c r="U4" s="151"/>
      <c r="V4" s="120"/>
      <c r="W4" s="115"/>
      <c r="X4" s="109"/>
      <c r="Y4" s="127"/>
      <c r="Z4" s="65"/>
      <c r="AA4" s="65"/>
      <c r="AB4" s="65"/>
      <c r="AC4" s="65"/>
      <c r="AD4" s="65"/>
      <c r="AE4" s="65"/>
      <c r="AF4" s="65" t="s">
        <v>496</v>
      </c>
    </row>
    <row r="5" spans="1:42" ht="19.5" x14ac:dyDescent="0.4">
      <c r="A5" s="57" t="s">
        <v>67</v>
      </c>
      <c r="B5" s="64" t="s">
        <v>116</v>
      </c>
      <c r="C5" s="65" t="s">
        <v>9</v>
      </c>
      <c r="D5" s="65" t="s">
        <v>613</v>
      </c>
      <c r="E5" s="65" t="s">
        <v>532</v>
      </c>
      <c r="F5" s="65" t="s">
        <v>106</v>
      </c>
      <c r="G5" s="65" t="s">
        <v>163</v>
      </c>
      <c r="H5" s="66">
        <v>45782</v>
      </c>
      <c r="I5" s="65" t="s">
        <v>6</v>
      </c>
      <c r="J5" s="67">
        <v>45878</v>
      </c>
      <c r="K5" s="65" t="s">
        <v>155</v>
      </c>
      <c r="L5" s="132">
        <v>61000</v>
      </c>
      <c r="M5" s="65"/>
      <c r="N5" s="65"/>
      <c r="O5" s="65"/>
      <c r="P5" s="65"/>
      <c r="Q5" s="65"/>
      <c r="R5" s="100"/>
      <c r="S5" s="138"/>
      <c r="T5" s="145"/>
      <c r="U5" s="151"/>
      <c r="V5" s="120"/>
      <c r="W5" s="115"/>
      <c r="X5" s="109"/>
      <c r="Y5" s="127"/>
      <c r="Z5" s="65"/>
      <c r="AA5" s="65"/>
      <c r="AB5" s="65"/>
      <c r="AC5" s="65"/>
      <c r="AD5" s="65"/>
      <c r="AE5" s="65"/>
      <c r="AF5" s="65" t="s">
        <v>478</v>
      </c>
    </row>
    <row r="6" spans="1:42" ht="19.5" x14ac:dyDescent="0.4">
      <c r="A6" s="57" t="s">
        <v>68</v>
      </c>
      <c r="B6" s="64" t="s">
        <v>117</v>
      </c>
      <c r="C6" s="65" t="s">
        <v>10</v>
      </c>
      <c r="D6" s="65" t="s">
        <v>614</v>
      </c>
      <c r="E6" s="65" t="s">
        <v>632</v>
      </c>
      <c r="F6" s="65" t="s">
        <v>106</v>
      </c>
      <c r="G6" s="65" t="s">
        <v>163</v>
      </c>
      <c r="H6" s="66">
        <v>45782</v>
      </c>
      <c r="I6" s="65" t="s">
        <v>157</v>
      </c>
      <c r="J6" s="67">
        <v>46002</v>
      </c>
      <c r="K6" s="65" t="s">
        <v>155</v>
      </c>
      <c r="L6" s="132">
        <v>5250</v>
      </c>
      <c r="M6" s="65"/>
      <c r="N6" s="65"/>
      <c r="O6" s="65"/>
      <c r="P6" s="65"/>
      <c r="Q6" s="65"/>
      <c r="R6" s="100"/>
      <c r="S6" s="138"/>
      <c r="T6" s="145"/>
      <c r="U6" s="151"/>
      <c r="V6" s="120"/>
      <c r="W6" s="115"/>
      <c r="X6" s="109"/>
      <c r="Y6" s="127"/>
      <c r="Z6" s="65"/>
      <c r="AA6" s="65"/>
      <c r="AB6" s="65"/>
      <c r="AC6" s="65"/>
      <c r="AD6" s="65"/>
      <c r="AE6" s="65"/>
      <c r="AF6" s="65"/>
    </row>
    <row r="7" spans="1:42" ht="19.5" x14ac:dyDescent="0.4">
      <c r="A7" s="57" t="s">
        <v>69</v>
      </c>
      <c r="B7" s="64" t="s">
        <v>118</v>
      </c>
      <c r="C7" s="65" t="s">
        <v>11</v>
      </c>
      <c r="D7" s="65" t="s">
        <v>620</v>
      </c>
      <c r="E7" s="65" t="s">
        <v>532</v>
      </c>
      <c r="F7" s="65" t="s">
        <v>106</v>
      </c>
      <c r="G7" s="65" t="s">
        <v>107</v>
      </c>
      <c r="H7" s="66">
        <v>45874</v>
      </c>
      <c r="I7" s="65" t="s">
        <v>159</v>
      </c>
      <c r="J7" s="66">
        <v>46000</v>
      </c>
      <c r="K7" s="65" t="s">
        <v>155</v>
      </c>
      <c r="L7" s="65"/>
      <c r="M7" s="65"/>
      <c r="N7" s="65"/>
      <c r="O7" s="65"/>
      <c r="P7" s="65"/>
      <c r="Q7" s="65"/>
      <c r="R7" s="100"/>
      <c r="S7" s="138"/>
      <c r="T7" s="145"/>
      <c r="U7" s="151"/>
      <c r="V7" s="120"/>
      <c r="W7" s="115"/>
      <c r="X7" s="109"/>
      <c r="Y7" s="127"/>
      <c r="Z7" s="65"/>
      <c r="AA7" s="65"/>
      <c r="AB7" s="65"/>
      <c r="AC7" s="65"/>
      <c r="AD7" s="65"/>
      <c r="AE7" s="65"/>
      <c r="AF7" s="65" t="s">
        <v>496</v>
      </c>
    </row>
    <row r="8" spans="1:42" ht="19.5" x14ac:dyDescent="0.4">
      <c r="A8" s="57" t="s">
        <v>70</v>
      </c>
      <c r="B8" s="64" t="s">
        <v>119</v>
      </c>
      <c r="C8" s="65" t="s">
        <v>12</v>
      </c>
      <c r="D8" s="65" t="s">
        <v>615</v>
      </c>
      <c r="E8" s="65" t="s">
        <v>532</v>
      </c>
      <c r="F8" s="65" t="s">
        <v>106</v>
      </c>
      <c r="G8" s="65" t="s">
        <v>163</v>
      </c>
      <c r="H8" s="66">
        <v>46361</v>
      </c>
      <c r="I8" s="65" t="s">
        <v>157</v>
      </c>
      <c r="J8" s="67" t="s">
        <v>477</v>
      </c>
      <c r="K8" s="65" t="s">
        <v>158</v>
      </c>
      <c r="L8" s="65"/>
      <c r="M8" s="65"/>
      <c r="N8" s="65"/>
      <c r="O8" s="65"/>
      <c r="P8" s="65"/>
      <c r="Q8" s="65"/>
      <c r="R8" s="100"/>
      <c r="S8" s="138"/>
      <c r="T8" s="145"/>
      <c r="U8" s="151"/>
      <c r="V8" s="120"/>
      <c r="W8" s="115"/>
      <c r="X8" s="109"/>
      <c r="Y8" s="127"/>
      <c r="Z8" s="65"/>
      <c r="AA8" s="65"/>
      <c r="AB8" s="65"/>
      <c r="AC8" s="65"/>
      <c r="AD8" s="65"/>
      <c r="AE8" s="65"/>
      <c r="AF8" s="65"/>
    </row>
    <row r="9" spans="1:42" ht="19.5" x14ac:dyDescent="0.4">
      <c r="A9" s="57" t="s">
        <v>71</v>
      </c>
      <c r="B9" s="64" t="s">
        <v>120</v>
      </c>
      <c r="C9" s="65" t="s">
        <v>111</v>
      </c>
      <c r="D9" s="65" t="s">
        <v>618</v>
      </c>
      <c r="E9" s="65" t="s">
        <v>669</v>
      </c>
      <c r="F9" s="65" t="s">
        <v>106</v>
      </c>
      <c r="G9" s="65" t="s">
        <v>163</v>
      </c>
      <c r="H9" s="66">
        <v>46361</v>
      </c>
      <c r="I9" s="65" t="s">
        <v>156</v>
      </c>
      <c r="J9" s="67">
        <v>45786</v>
      </c>
      <c r="K9" s="65" t="s">
        <v>155</v>
      </c>
      <c r="L9" s="132">
        <v>1000</v>
      </c>
      <c r="M9" s="65"/>
      <c r="N9" s="65"/>
      <c r="O9" s="65"/>
      <c r="P9" s="65"/>
      <c r="Q9" s="65"/>
      <c r="R9" s="100"/>
      <c r="S9" s="138"/>
      <c r="T9" s="145"/>
      <c r="U9" s="151"/>
      <c r="V9" s="120"/>
      <c r="W9" s="115"/>
      <c r="X9" s="109"/>
      <c r="Y9" s="127"/>
      <c r="Z9" s="65"/>
      <c r="AA9" s="65"/>
      <c r="AB9" s="65"/>
      <c r="AC9" s="65"/>
      <c r="AD9" s="65"/>
      <c r="AE9" s="65"/>
      <c r="AF9" s="65" t="s">
        <v>478</v>
      </c>
    </row>
    <row r="10" spans="1:42" ht="19.5" x14ac:dyDescent="0.4">
      <c r="A10" s="57" t="s">
        <v>72</v>
      </c>
      <c r="B10" s="64" t="s">
        <v>121</v>
      </c>
      <c r="C10" s="65" t="s">
        <v>14</v>
      </c>
      <c r="D10" s="65" t="s">
        <v>600</v>
      </c>
      <c r="E10" s="65" t="s">
        <v>532</v>
      </c>
      <c r="F10" s="65" t="s">
        <v>106</v>
      </c>
      <c r="G10" s="65" t="s">
        <v>163</v>
      </c>
      <c r="H10" s="66">
        <v>46361</v>
      </c>
      <c r="I10" s="65"/>
      <c r="J10" s="67" t="s">
        <v>477</v>
      </c>
      <c r="K10" s="65" t="s">
        <v>158</v>
      </c>
      <c r="L10" s="132">
        <v>25000</v>
      </c>
      <c r="M10" s="65"/>
      <c r="N10" s="65"/>
      <c r="O10" s="65"/>
      <c r="P10" s="65"/>
      <c r="Q10" s="132">
        <v>31000</v>
      </c>
      <c r="R10" s="100"/>
      <c r="S10" s="138"/>
      <c r="T10" s="145"/>
      <c r="U10" s="151"/>
      <c r="V10" s="120"/>
      <c r="W10" s="115"/>
      <c r="X10" s="109"/>
      <c r="Y10" s="127"/>
      <c r="Z10" s="65"/>
      <c r="AA10" s="65"/>
      <c r="AB10" s="65"/>
      <c r="AC10" s="65"/>
      <c r="AD10" s="65"/>
      <c r="AE10" s="65"/>
      <c r="AF10" s="65"/>
    </row>
    <row r="11" spans="1:42" ht="19.5" x14ac:dyDescent="0.4">
      <c r="A11" s="57" t="s">
        <v>73</v>
      </c>
      <c r="B11" s="64" t="s">
        <v>122</v>
      </c>
      <c r="C11" s="65" t="s">
        <v>485</v>
      </c>
      <c r="D11" s="65" t="s">
        <v>612</v>
      </c>
      <c r="E11" s="65" t="s">
        <v>532</v>
      </c>
      <c r="F11" s="65" t="s">
        <v>106</v>
      </c>
      <c r="G11" s="65" t="s">
        <v>160</v>
      </c>
      <c r="H11" s="66" t="s">
        <v>521</v>
      </c>
      <c r="I11" s="65" t="s">
        <v>157</v>
      </c>
      <c r="J11" s="66">
        <v>45809</v>
      </c>
      <c r="K11" s="65" t="s">
        <v>155</v>
      </c>
      <c r="L11" s="65"/>
      <c r="M11" s="65"/>
      <c r="N11" s="65"/>
      <c r="O11" s="65"/>
      <c r="P11" s="65"/>
      <c r="Q11" s="65"/>
      <c r="R11" s="100"/>
      <c r="S11" s="138"/>
      <c r="T11" s="145"/>
      <c r="U11" s="151"/>
      <c r="V11" s="120"/>
      <c r="W11" s="115"/>
      <c r="X11" s="109"/>
      <c r="Y11" s="127"/>
      <c r="Z11" s="65"/>
      <c r="AA11" s="65"/>
      <c r="AB11" s="65"/>
      <c r="AC11" s="65"/>
      <c r="AD11" s="65"/>
      <c r="AE11" s="65"/>
      <c r="AF11" s="65" t="s">
        <v>479</v>
      </c>
    </row>
    <row r="12" spans="1:42" ht="19.5" x14ac:dyDescent="0.4">
      <c r="A12" s="57" t="s">
        <v>77</v>
      </c>
      <c r="B12" s="64" t="s">
        <v>123</v>
      </c>
      <c r="C12" s="65" t="s">
        <v>19</v>
      </c>
      <c r="D12" s="65" t="s">
        <v>661</v>
      </c>
      <c r="E12" s="65" t="s">
        <v>532</v>
      </c>
      <c r="F12" s="65" t="s">
        <v>106</v>
      </c>
      <c r="G12" s="65" t="s">
        <v>163</v>
      </c>
      <c r="H12" s="65" t="s">
        <v>41</v>
      </c>
      <c r="I12" s="65" t="s">
        <v>156</v>
      </c>
      <c r="J12" s="66">
        <v>45820</v>
      </c>
      <c r="K12" s="65" t="s">
        <v>155</v>
      </c>
      <c r="L12" s="65"/>
      <c r="M12" s="65"/>
      <c r="N12" s="65"/>
      <c r="O12" s="65"/>
      <c r="P12" s="65"/>
      <c r="Q12" s="65"/>
      <c r="R12" s="100"/>
      <c r="S12" s="138"/>
      <c r="T12" s="145"/>
      <c r="U12" s="151"/>
      <c r="V12" s="120"/>
      <c r="W12" s="115"/>
      <c r="X12" s="109"/>
      <c r="Y12" s="127"/>
      <c r="Z12" s="65"/>
      <c r="AA12" s="65"/>
      <c r="AB12" s="65"/>
      <c r="AC12" s="65"/>
      <c r="AD12" s="65"/>
      <c r="AE12" s="65"/>
      <c r="AF12" s="65" t="s">
        <v>682</v>
      </c>
    </row>
    <row r="13" spans="1:42" ht="19.5" x14ac:dyDescent="0.4">
      <c r="A13" s="57" t="s">
        <v>78</v>
      </c>
      <c r="B13" s="64" t="s">
        <v>124</v>
      </c>
      <c r="C13" s="65" t="s">
        <v>20</v>
      </c>
      <c r="D13" s="65" t="s">
        <v>660</v>
      </c>
      <c r="E13" s="65" t="s">
        <v>532</v>
      </c>
      <c r="F13" s="65" t="s">
        <v>106</v>
      </c>
      <c r="G13" s="65" t="s">
        <v>163</v>
      </c>
      <c r="H13" s="65" t="s">
        <v>42</v>
      </c>
      <c r="I13" s="65" t="s">
        <v>6</v>
      </c>
      <c r="J13" s="66">
        <v>45723</v>
      </c>
      <c r="K13" s="65" t="s">
        <v>155</v>
      </c>
      <c r="L13" s="65"/>
      <c r="M13" s="65"/>
      <c r="N13" s="65"/>
      <c r="O13" s="65"/>
      <c r="P13" s="65"/>
      <c r="Q13" s="65"/>
      <c r="R13" s="100"/>
      <c r="S13" s="138"/>
      <c r="T13" s="145"/>
      <c r="U13" s="151"/>
      <c r="V13" s="120"/>
      <c r="W13" s="115"/>
      <c r="X13" s="109"/>
      <c r="Y13" s="127"/>
      <c r="Z13" s="65"/>
      <c r="AA13" s="65"/>
      <c r="AB13" s="65"/>
      <c r="AC13" s="65"/>
      <c r="AD13" s="65"/>
      <c r="AE13" s="65"/>
      <c r="AF13" s="65" t="s">
        <v>478</v>
      </c>
    </row>
    <row r="14" spans="1:42" ht="19.5" x14ac:dyDescent="0.4">
      <c r="A14" s="57" t="s">
        <v>79</v>
      </c>
      <c r="B14" s="64" t="s">
        <v>125</v>
      </c>
      <c r="C14" s="65" t="s">
        <v>21</v>
      </c>
      <c r="D14" s="65" t="s">
        <v>659</v>
      </c>
      <c r="E14" s="65" t="s">
        <v>532</v>
      </c>
      <c r="F14" s="65" t="s">
        <v>106</v>
      </c>
      <c r="G14" s="65" t="s">
        <v>163</v>
      </c>
      <c r="H14" s="65" t="s">
        <v>42</v>
      </c>
      <c r="I14" s="65" t="s">
        <v>156</v>
      </c>
      <c r="J14" s="65" t="s">
        <v>480</v>
      </c>
      <c r="K14" s="65" t="s">
        <v>155</v>
      </c>
      <c r="L14" s="65"/>
      <c r="M14" s="65"/>
      <c r="N14" s="65"/>
      <c r="O14" s="65"/>
      <c r="P14" s="65"/>
      <c r="Q14" s="65"/>
      <c r="R14" s="100"/>
      <c r="S14" s="138"/>
      <c r="T14" s="145"/>
      <c r="U14" s="151"/>
      <c r="V14" s="120"/>
      <c r="W14" s="115"/>
      <c r="X14" s="109"/>
      <c r="Y14" s="127"/>
      <c r="Z14" s="65"/>
      <c r="AA14" s="65"/>
      <c r="AB14" s="65"/>
      <c r="AC14" s="65"/>
      <c r="AD14" s="65"/>
      <c r="AE14" s="65"/>
      <c r="AF14" s="65" t="s">
        <v>682</v>
      </c>
    </row>
    <row r="15" spans="1:42" ht="19.5" x14ac:dyDescent="0.4">
      <c r="A15" s="57" t="s">
        <v>80</v>
      </c>
      <c r="B15" s="64" t="s">
        <v>126</v>
      </c>
      <c r="C15" s="65" t="s">
        <v>22</v>
      </c>
      <c r="D15" s="65" t="s">
        <v>658</v>
      </c>
      <c r="E15" s="65" t="s">
        <v>532</v>
      </c>
      <c r="F15" s="65" t="s">
        <v>106</v>
      </c>
      <c r="G15" s="65" t="s">
        <v>163</v>
      </c>
      <c r="H15" s="65" t="s">
        <v>42</v>
      </c>
      <c r="I15" s="65" t="s">
        <v>159</v>
      </c>
      <c r="J15" s="66">
        <v>45846</v>
      </c>
      <c r="K15" s="65" t="s">
        <v>155</v>
      </c>
      <c r="L15" s="65"/>
      <c r="M15" s="65"/>
      <c r="N15" s="65"/>
      <c r="O15" s="65"/>
      <c r="P15" s="65"/>
      <c r="Q15" s="65"/>
      <c r="R15" s="100"/>
      <c r="S15" s="138"/>
      <c r="T15" s="145"/>
      <c r="U15" s="151"/>
      <c r="V15" s="120"/>
      <c r="W15" s="115"/>
      <c r="X15" s="109"/>
      <c r="Y15" s="127"/>
      <c r="Z15" s="65"/>
      <c r="AA15" s="65"/>
      <c r="AB15" s="65"/>
      <c r="AC15" s="65"/>
      <c r="AD15" s="65"/>
      <c r="AE15" s="65"/>
      <c r="AF15" s="65" t="s">
        <v>478</v>
      </c>
    </row>
    <row r="16" spans="1:42" ht="19.5" x14ac:dyDescent="0.4">
      <c r="A16" s="57" t="s">
        <v>81</v>
      </c>
      <c r="B16" s="64" t="s">
        <v>127</v>
      </c>
      <c r="C16" s="65" t="s">
        <v>36</v>
      </c>
      <c r="D16" s="65" t="s">
        <v>603</v>
      </c>
      <c r="E16" s="65" t="s">
        <v>532</v>
      </c>
      <c r="F16" s="65" t="s">
        <v>106</v>
      </c>
      <c r="G16" s="65" t="s">
        <v>163</v>
      </c>
      <c r="H16" s="65" t="s">
        <v>42</v>
      </c>
      <c r="I16" s="65" t="s">
        <v>156</v>
      </c>
      <c r="J16" s="65" t="s">
        <v>477</v>
      </c>
      <c r="K16" s="65" t="s">
        <v>158</v>
      </c>
      <c r="L16" s="132">
        <v>1000</v>
      </c>
      <c r="M16" s="65"/>
      <c r="N16" s="65"/>
      <c r="O16" s="65"/>
      <c r="P16" s="132">
        <v>5000</v>
      </c>
      <c r="Q16" s="65"/>
      <c r="R16" s="100"/>
      <c r="S16" s="138"/>
      <c r="T16" s="145"/>
      <c r="U16" s="151"/>
      <c r="V16" s="120"/>
      <c r="W16" s="115"/>
      <c r="X16" s="109"/>
      <c r="Y16" s="127"/>
      <c r="Z16" s="65"/>
      <c r="AA16" s="65"/>
      <c r="AB16" s="65"/>
      <c r="AC16" s="65"/>
      <c r="AD16" s="65"/>
      <c r="AE16" s="65"/>
      <c r="AF16" s="65"/>
    </row>
    <row r="17" spans="1:32" ht="19.5" x14ac:dyDescent="0.4">
      <c r="A17" s="57" t="s">
        <v>82</v>
      </c>
      <c r="B17" s="64" t="s">
        <v>128</v>
      </c>
      <c r="C17" s="65" t="s">
        <v>23</v>
      </c>
      <c r="D17" s="65" t="s">
        <v>662</v>
      </c>
      <c r="E17" s="65" t="s">
        <v>532</v>
      </c>
      <c r="F17" s="65" t="s">
        <v>106</v>
      </c>
      <c r="G17" s="65" t="s">
        <v>163</v>
      </c>
      <c r="H17" s="65" t="s">
        <v>43</v>
      </c>
      <c r="I17" s="65" t="s">
        <v>156</v>
      </c>
      <c r="J17" s="66">
        <v>46211</v>
      </c>
      <c r="K17" s="65" t="s">
        <v>155</v>
      </c>
      <c r="L17" s="65"/>
      <c r="M17" s="65"/>
      <c r="N17" s="65"/>
      <c r="O17" s="65"/>
      <c r="P17" s="65"/>
      <c r="Q17" s="65"/>
      <c r="R17" s="100"/>
      <c r="S17" s="138"/>
      <c r="T17" s="145"/>
      <c r="U17" s="151"/>
      <c r="V17" s="120"/>
      <c r="W17" s="115"/>
      <c r="X17" s="109"/>
      <c r="Y17" s="127"/>
      <c r="Z17" s="65"/>
      <c r="AA17" s="65"/>
      <c r="AB17" s="65"/>
      <c r="AC17" s="65"/>
      <c r="AD17" s="65"/>
      <c r="AE17" s="65"/>
      <c r="AF17" s="65" t="s">
        <v>481</v>
      </c>
    </row>
    <row r="18" spans="1:32" ht="19.5" x14ac:dyDescent="0.4">
      <c r="A18" s="57" t="s">
        <v>83</v>
      </c>
      <c r="B18" s="64" t="s">
        <v>129</v>
      </c>
      <c r="C18" s="65" t="s">
        <v>24</v>
      </c>
      <c r="D18" s="65" t="s">
        <v>667</v>
      </c>
      <c r="E18" s="65" t="s">
        <v>668</v>
      </c>
      <c r="F18" s="65" t="s">
        <v>106</v>
      </c>
      <c r="G18" s="65" t="s">
        <v>163</v>
      </c>
      <c r="H18" s="66">
        <v>45722</v>
      </c>
      <c r="I18" s="65" t="s">
        <v>6</v>
      </c>
      <c r="J18" s="66">
        <v>45664</v>
      </c>
      <c r="K18" s="65" t="s">
        <v>155</v>
      </c>
      <c r="L18" s="132">
        <v>5000</v>
      </c>
      <c r="M18" s="65"/>
      <c r="N18" s="65"/>
      <c r="O18" s="65"/>
      <c r="P18" s="65"/>
      <c r="Q18" s="65"/>
      <c r="R18" s="100"/>
      <c r="S18" s="138"/>
      <c r="T18" s="145"/>
      <c r="U18" s="151"/>
      <c r="V18" s="120"/>
      <c r="W18" s="115"/>
      <c r="X18" s="109"/>
      <c r="Y18" s="127"/>
      <c r="Z18" s="65"/>
      <c r="AA18" s="65"/>
      <c r="AB18" s="65"/>
      <c r="AC18" s="65"/>
      <c r="AD18" s="65"/>
      <c r="AE18" s="65"/>
      <c r="AF18" s="65"/>
    </row>
    <row r="19" spans="1:32" ht="19.5" x14ac:dyDescent="0.4">
      <c r="A19" s="57" t="s">
        <v>84</v>
      </c>
      <c r="B19" s="64" t="s">
        <v>130</v>
      </c>
      <c r="C19" s="65" t="s">
        <v>25</v>
      </c>
      <c r="D19" s="65" t="s">
        <v>653</v>
      </c>
      <c r="E19" s="65" t="s">
        <v>587</v>
      </c>
      <c r="F19" s="65" t="s">
        <v>106</v>
      </c>
      <c r="G19" s="65" t="s">
        <v>163</v>
      </c>
      <c r="H19" s="66">
        <v>45722</v>
      </c>
      <c r="I19" s="65" t="s">
        <v>159</v>
      </c>
      <c r="J19" s="67">
        <v>46029</v>
      </c>
      <c r="K19" s="65" t="s">
        <v>155</v>
      </c>
      <c r="L19" s="132">
        <v>8500</v>
      </c>
      <c r="M19" s="65"/>
      <c r="N19" s="65"/>
      <c r="O19" s="65"/>
      <c r="P19" s="65"/>
      <c r="Q19" s="65"/>
      <c r="R19" s="100"/>
      <c r="S19" s="138"/>
      <c r="T19" s="145"/>
      <c r="U19" s="151"/>
      <c r="V19" s="120"/>
      <c r="W19" s="115"/>
      <c r="X19" s="109"/>
      <c r="Y19" s="127"/>
      <c r="Z19" s="65"/>
      <c r="AA19" s="65"/>
      <c r="AB19" s="65"/>
      <c r="AC19" s="65"/>
      <c r="AD19" s="65"/>
      <c r="AE19" s="65"/>
      <c r="AF19" s="65"/>
    </row>
    <row r="20" spans="1:32" ht="19.5" x14ac:dyDescent="0.4">
      <c r="A20" s="57" t="s">
        <v>85</v>
      </c>
      <c r="B20" s="64" t="s">
        <v>131</v>
      </c>
      <c r="C20" s="65" t="s">
        <v>26</v>
      </c>
      <c r="D20" s="65" t="s">
        <v>642</v>
      </c>
      <c r="E20" s="65" t="s">
        <v>532</v>
      </c>
      <c r="F20" s="65" t="s">
        <v>106</v>
      </c>
      <c r="G20" s="65" t="s">
        <v>107</v>
      </c>
      <c r="H20" s="65" t="s">
        <v>45</v>
      </c>
      <c r="I20" s="65" t="s">
        <v>6</v>
      </c>
      <c r="J20" s="65" t="s">
        <v>482</v>
      </c>
      <c r="K20" s="65" t="s">
        <v>155</v>
      </c>
      <c r="L20" s="132">
        <v>1000</v>
      </c>
      <c r="M20" s="65"/>
      <c r="N20" s="65"/>
      <c r="O20" s="65"/>
      <c r="P20" s="65"/>
      <c r="Q20" s="65"/>
      <c r="R20" s="100"/>
      <c r="S20" s="138"/>
      <c r="T20" s="145"/>
      <c r="U20" s="151"/>
      <c r="V20" s="120"/>
      <c r="W20" s="115"/>
      <c r="X20" s="109"/>
      <c r="Y20" s="127"/>
      <c r="Z20" s="65"/>
      <c r="AA20" s="65"/>
      <c r="AB20" s="65"/>
      <c r="AC20" s="65"/>
      <c r="AD20" s="65"/>
      <c r="AE20" s="65"/>
      <c r="AF20" s="65"/>
    </row>
    <row r="21" spans="1:32" ht="19.5" x14ac:dyDescent="0.4">
      <c r="A21" s="57" t="s">
        <v>86</v>
      </c>
      <c r="B21" s="64" t="s">
        <v>132</v>
      </c>
      <c r="C21" s="65" t="s">
        <v>27</v>
      </c>
      <c r="D21" s="65" t="s">
        <v>650</v>
      </c>
      <c r="E21" s="65" t="s">
        <v>532</v>
      </c>
      <c r="F21" s="65" t="s">
        <v>106</v>
      </c>
      <c r="G21" s="65" t="s">
        <v>163</v>
      </c>
      <c r="H21" s="66" t="s">
        <v>498</v>
      </c>
      <c r="I21" s="65" t="s">
        <v>6</v>
      </c>
      <c r="J21" s="65" t="s">
        <v>498</v>
      </c>
      <c r="K21" s="65" t="s">
        <v>155</v>
      </c>
      <c r="L21" s="65"/>
      <c r="M21" s="65"/>
      <c r="N21" s="65"/>
      <c r="O21" s="65"/>
      <c r="P21" s="65"/>
      <c r="Q21" s="65"/>
      <c r="R21" s="100"/>
      <c r="S21" s="138"/>
      <c r="T21" s="145"/>
      <c r="U21" s="151"/>
      <c r="V21" s="120"/>
      <c r="W21" s="115"/>
      <c r="X21" s="109"/>
      <c r="Y21" s="127"/>
      <c r="Z21" s="65"/>
      <c r="AA21" s="65"/>
      <c r="AB21" s="65"/>
      <c r="AC21" s="65"/>
      <c r="AD21" s="65"/>
      <c r="AE21" s="65"/>
      <c r="AF21" s="65"/>
    </row>
    <row r="22" spans="1:32" ht="19.5" x14ac:dyDescent="0.4">
      <c r="A22" s="57" t="s">
        <v>87</v>
      </c>
      <c r="B22" s="64" t="s">
        <v>133</v>
      </c>
      <c r="C22" s="65" t="s">
        <v>28</v>
      </c>
      <c r="D22" s="65" t="s">
        <v>604</v>
      </c>
      <c r="E22" s="65" t="s">
        <v>532</v>
      </c>
      <c r="F22" s="65" t="s">
        <v>106</v>
      </c>
      <c r="G22" s="65" t="s">
        <v>163</v>
      </c>
      <c r="H22" s="65" t="s">
        <v>44</v>
      </c>
      <c r="I22" s="65" t="s">
        <v>156</v>
      </c>
      <c r="J22" s="65" t="s">
        <v>477</v>
      </c>
      <c r="K22" s="65" t="s">
        <v>158</v>
      </c>
      <c r="L22" s="132">
        <v>1000</v>
      </c>
      <c r="M22" s="65"/>
      <c r="N22" s="65"/>
      <c r="O22" s="65"/>
      <c r="P22" s="132">
        <v>10000</v>
      </c>
      <c r="Q22" s="132">
        <v>10000</v>
      </c>
      <c r="R22" s="100"/>
      <c r="S22" s="138"/>
      <c r="T22" s="146">
        <v>10000</v>
      </c>
      <c r="U22" s="151"/>
      <c r="V22" s="120"/>
      <c r="W22" s="115"/>
      <c r="X22" s="109"/>
      <c r="Y22" s="127"/>
      <c r="Z22" s="65"/>
      <c r="AA22" s="65"/>
      <c r="AB22" s="65"/>
      <c r="AC22" s="65"/>
      <c r="AD22" s="65"/>
      <c r="AE22" s="65"/>
      <c r="AF22" s="65"/>
    </row>
    <row r="23" spans="1:32" ht="19.5" x14ac:dyDescent="0.4">
      <c r="A23" s="57" t="s">
        <v>88</v>
      </c>
      <c r="B23" s="64" t="s">
        <v>134</v>
      </c>
      <c r="C23" s="65" t="s">
        <v>29</v>
      </c>
      <c r="D23" s="65" t="s">
        <v>597</v>
      </c>
      <c r="E23" s="65" t="s">
        <v>532</v>
      </c>
      <c r="F23" s="65" t="s">
        <v>106</v>
      </c>
      <c r="G23" s="65" t="s">
        <v>163</v>
      </c>
      <c r="H23" s="65" t="s">
        <v>45</v>
      </c>
      <c r="I23" s="65" t="s">
        <v>157</v>
      </c>
      <c r="J23" s="65"/>
      <c r="K23" s="65" t="s">
        <v>279</v>
      </c>
      <c r="L23" s="65"/>
      <c r="M23" s="65"/>
      <c r="N23" s="65"/>
      <c r="O23" s="65"/>
      <c r="P23" s="65"/>
      <c r="Q23" s="65"/>
      <c r="R23" s="100"/>
      <c r="S23" s="138"/>
      <c r="T23" s="145"/>
      <c r="U23" s="152">
        <v>15000</v>
      </c>
      <c r="V23" s="121">
        <v>22500</v>
      </c>
      <c r="W23" s="115"/>
      <c r="X23" s="109"/>
      <c r="Y23" s="127"/>
      <c r="Z23" s="65"/>
      <c r="AA23" s="65"/>
      <c r="AB23" s="65"/>
      <c r="AC23" s="65"/>
      <c r="AD23" s="65"/>
      <c r="AE23" s="65"/>
      <c r="AF23" s="65" t="s">
        <v>683</v>
      </c>
    </row>
    <row r="24" spans="1:32" ht="19.5" x14ac:dyDescent="0.4">
      <c r="A24" s="57" t="s">
        <v>89</v>
      </c>
      <c r="B24" s="64" t="s">
        <v>135</v>
      </c>
      <c r="C24" s="65" t="s">
        <v>30</v>
      </c>
      <c r="D24" s="65" t="s">
        <v>670</v>
      </c>
      <c r="E24" s="65" t="s">
        <v>583</v>
      </c>
      <c r="F24" s="65" t="s">
        <v>106</v>
      </c>
      <c r="G24" s="65" t="s">
        <v>163</v>
      </c>
      <c r="H24" s="66">
        <v>45722</v>
      </c>
      <c r="I24" s="65" t="s">
        <v>159</v>
      </c>
      <c r="J24" s="65"/>
      <c r="K24" s="65" t="s">
        <v>155</v>
      </c>
      <c r="L24" s="132">
        <v>1000</v>
      </c>
      <c r="M24" s="65"/>
      <c r="N24" s="65"/>
      <c r="O24" s="65"/>
      <c r="P24" s="65"/>
      <c r="Q24" s="65"/>
      <c r="R24" s="134">
        <v>10000</v>
      </c>
      <c r="S24" s="138"/>
      <c r="T24" s="145"/>
      <c r="U24" s="151"/>
      <c r="V24" s="120"/>
      <c r="W24" s="115"/>
      <c r="X24" s="109"/>
      <c r="Y24" s="127"/>
      <c r="Z24" s="65"/>
      <c r="AA24" s="65"/>
      <c r="AB24" s="65"/>
      <c r="AC24" s="65"/>
      <c r="AD24" s="65"/>
      <c r="AE24" s="65"/>
      <c r="AF24" s="65"/>
    </row>
    <row r="25" spans="1:32" ht="19.5" x14ac:dyDescent="0.4">
      <c r="A25" s="57" t="s">
        <v>90</v>
      </c>
      <c r="B25" s="64" t="s">
        <v>136</v>
      </c>
      <c r="C25" s="65" t="s">
        <v>31</v>
      </c>
      <c r="D25" s="65" t="s">
        <v>772</v>
      </c>
      <c r="E25" s="65" t="s">
        <v>630</v>
      </c>
      <c r="F25" s="65" t="s">
        <v>106</v>
      </c>
      <c r="G25" s="65" t="s">
        <v>163</v>
      </c>
      <c r="H25" s="66">
        <v>45753</v>
      </c>
      <c r="I25" s="65" t="s">
        <v>157</v>
      </c>
      <c r="J25" s="65"/>
      <c r="K25" s="65" t="s">
        <v>155</v>
      </c>
      <c r="L25" s="65"/>
      <c r="M25" s="65"/>
      <c r="N25" s="65"/>
      <c r="O25" s="65"/>
      <c r="P25" s="65"/>
      <c r="Q25" s="65"/>
      <c r="R25" s="100"/>
      <c r="S25" s="138"/>
      <c r="T25" s="145"/>
      <c r="U25" s="151"/>
      <c r="V25" s="120"/>
      <c r="W25" s="115"/>
      <c r="X25" s="109"/>
      <c r="Y25" s="127"/>
      <c r="Z25" s="65"/>
      <c r="AA25" s="65"/>
      <c r="AB25" s="65"/>
      <c r="AC25" s="65"/>
      <c r="AD25" s="65"/>
      <c r="AE25" s="65"/>
      <c r="AF25" s="65"/>
    </row>
    <row r="26" spans="1:32" ht="19.5" x14ac:dyDescent="0.4">
      <c r="A26" s="57" t="s">
        <v>91</v>
      </c>
      <c r="B26" s="64" t="s">
        <v>137</v>
      </c>
      <c r="C26" s="65" t="s">
        <v>47</v>
      </c>
      <c r="D26" s="65" t="s">
        <v>641</v>
      </c>
      <c r="E26" s="65" t="s">
        <v>631</v>
      </c>
      <c r="F26" s="65" t="s">
        <v>106</v>
      </c>
      <c r="G26" s="65" t="s">
        <v>107</v>
      </c>
      <c r="H26" s="65" t="s">
        <v>59</v>
      </c>
      <c r="I26" s="65" t="s">
        <v>6</v>
      </c>
      <c r="J26" s="66">
        <v>45723</v>
      </c>
      <c r="K26" s="65" t="s">
        <v>155</v>
      </c>
      <c r="L26" s="65"/>
      <c r="M26" s="65"/>
      <c r="N26" s="65"/>
      <c r="O26" s="65"/>
      <c r="P26" s="65"/>
      <c r="Q26" s="65"/>
      <c r="R26" s="100"/>
      <c r="S26" s="138"/>
      <c r="T26" s="145"/>
      <c r="U26" s="151"/>
      <c r="V26" s="120"/>
      <c r="W26" s="115"/>
      <c r="X26" s="109"/>
      <c r="Y26" s="127"/>
      <c r="Z26" s="65"/>
      <c r="AA26" s="65"/>
      <c r="AB26" s="65"/>
      <c r="AC26" s="65"/>
      <c r="AD26" s="65"/>
      <c r="AE26" s="65"/>
      <c r="AF26" s="65"/>
    </row>
    <row r="27" spans="1:32" ht="19.5" x14ac:dyDescent="0.4">
      <c r="A27" s="57" t="s">
        <v>92</v>
      </c>
      <c r="B27" s="64" t="s">
        <v>138</v>
      </c>
      <c r="C27" s="65" t="s">
        <v>48</v>
      </c>
      <c r="D27" s="65" t="s">
        <v>649</v>
      </c>
      <c r="E27" s="65"/>
      <c r="F27" s="65" t="s">
        <v>106</v>
      </c>
      <c r="G27" s="65" t="s">
        <v>107</v>
      </c>
      <c r="H27" s="65" t="s">
        <v>483</v>
      </c>
      <c r="I27" s="65" t="s">
        <v>6</v>
      </c>
      <c r="J27" s="65" t="s">
        <v>486</v>
      </c>
      <c r="K27" s="65" t="s">
        <v>155</v>
      </c>
      <c r="L27" s="65"/>
      <c r="M27" s="65"/>
      <c r="N27" s="65"/>
      <c r="O27" s="65"/>
      <c r="P27" s="65"/>
      <c r="Q27" s="65"/>
      <c r="R27" s="100"/>
      <c r="S27" s="138"/>
      <c r="T27" s="145"/>
      <c r="U27" s="151"/>
      <c r="V27" s="120"/>
      <c r="W27" s="115"/>
      <c r="X27" s="109"/>
      <c r="Y27" s="127"/>
      <c r="Z27" s="65"/>
      <c r="AA27" s="65"/>
      <c r="AB27" s="65"/>
      <c r="AC27" s="65"/>
      <c r="AD27" s="65"/>
      <c r="AE27" s="65"/>
      <c r="AF27" s="65"/>
    </row>
    <row r="28" spans="1:32" ht="19.5" x14ac:dyDescent="0.4">
      <c r="A28" s="57" t="s">
        <v>93</v>
      </c>
      <c r="B28" s="64" t="s">
        <v>139</v>
      </c>
      <c r="C28" s="65" t="s">
        <v>49</v>
      </c>
      <c r="D28" s="65" t="s">
        <v>656</v>
      </c>
      <c r="E28" s="65"/>
      <c r="F28" s="65" t="s">
        <v>106</v>
      </c>
      <c r="G28" s="65" t="s">
        <v>107</v>
      </c>
      <c r="H28" s="65" t="s">
        <v>59</v>
      </c>
      <c r="I28" s="65" t="s">
        <v>6</v>
      </c>
      <c r="J28" s="65" t="s">
        <v>487</v>
      </c>
      <c r="K28" s="65" t="s">
        <v>155</v>
      </c>
      <c r="L28" s="65"/>
      <c r="M28" s="65"/>
      <c r="N28" s="65"/>
      <c r="O28" s="65"/>
      <c r="P28" s="65"/>
      <c r="Q28" s="65"/>
      <c r="R28" s="100"/>
      <c r="S28" s="138"/>
      <c r="T28" s="145"/>
      <c r="U28" s="151"/>
      <c r="V28" s="120"/>
      <c r="W28" s="115"/>
      <c r="X28" s="109"/>
      <c r="Y28" s="127"/>
      <c r="Z28" s="65"/>
      <c r="AA28" s="65"/>
      <c r="AB28" s="65"/>
      <c r="AC28" s="65"/>
      <c r="AD28" s="65"/>
      <c r="AE28" s="65"/>
      <c r="AF28" s="65"/>
    </row>
    <row r="29" spans="1:32" ht="19.5" x14ac:dyDescent="0.4">
      <c r="A29" s="57" t="s">
        <v>94</v>
      </c>
      <c r="B29" s="64" t="s">
        <v>140</v>
      </c>
      <c r="C29" s="65" t="s">
        <v>50</v>
      </c>
      <c r="D29" s="65" t="s">
        <v>666</v>
      </c>
      <c r="E29" s="65"/>
      <c r="F29" s="65" t="s">
        <v>106</v>
      </c>
      <c r="G29" s="65" t="s">
        <v>107</v>
      </c>
      <c r="H29" s="65" t="s">
        <v>60</v>
      </c>
      <c r="I29" s="65" t="s">
        <v>159</v>
      </c>
      <c r="J29" s="66">
        <v>45845</v>
      </c>
      <c r="K29" s="65" t="s">
        <v>155</v>
      </c>
      <c r="L29" s="65"/>
      <c r="M29" s="65"/>
      <c r="N29" s="65"/>
      <c r="O29" s="65"/>
      <c r="P29" s="65"/>
      <c r="Q29" s="65"/>
      <c r="R29" s="100"/>
      <c r="S29" s="138"/>
      <c r="T29" s="145"/>
      <c r="U29" s="151"/>
      <c r="V29" s="120"/>
      <c r="W29" s="115"/>
      <c r="X29" s="109"/>
      <c r="Y29" s="127"/>
      <c r="Z29" s="65"/>
      <c r="AA29" s="65"/>
      <c r="AB29" s="65"/>
      <c r="AC29" s="65"/>
      <c r="AD29" s="65"/>
      <c r="AE29" s="65"/>
      <c r="AF29" s="65"/>
    </row>
    <row r="30" spans="1:32" ht="19.5" x14ac:dyDescent="0.4">
      <c r="A30" s="57" t="s">
        <v>95</v>
      </c>
      <c r="B30" s="64" t="s">
        <v>141</v>
      </c>
      <c r="C30" s="65" t="s">
        <v>51</v>
      </c>
      <c r="D30" s="65" t="s">
        <v>647</v>
      </c>
      <c r="E30" s="65" t="s">
        <v>648</v>
      </c>
      <c r="F30" s="65" t="s">
        <v>106</v>
      </c>
      <c r="G30" s="65" t="s">
        <v>107</v>
      </c>
      <c r="H30" s="65" t="s">
        <v>60</v>
      </c>
      <c r="I30" s="65" t="s">
        <v>6</v>
      </c>
      <c r="J30" s="65" t="s">
        <v>488</v>
      </c>
      <c r="K30" s="65" t="s">
        <v>155</v>
      </c>
      <c r="L30" s="65"/>
      <c r="M30" s="65"/>
      <c r="N30" s="65"/>
      <c r="O30" s="65"/>
      <c r="P30" s="65"/>
      <c r="Q30" s="65"/>
      <c r="R30" s="100"/>
      <c r="S30" s="138"/>
      <c r="T30" s="145"/>
      <c r="U30" s="151"/>
      <c r="V30" s="120"/>
      <c r="W30" s="115"/>
      <c r="X30" s="109"/>
      <c r="Y30" s="127"/>
      <c r="Z30" s="65"/>
      <c r="AA30" s="65"/>
      <c r="AB30" s="65"/>
      <c r="AC30" s="65"/>
      <c r="AD30" s="65"/>
      <c r="AE30" s="65"/>
      <c r="AF30" s="65"/>
    </row>
    <row r="31" spans="1:32" ht="19.5" x14ac:dyDescent="0.4">
      <c r="A31" s="57" t="s">
        <v>96</v>
      </c>
      <c r="B31" s="64" t="s">
        <v>142</v>
      </c>
      <c r="C31" s="65" t="s">
        <v>52</v>
      </c>
      <c r="D31" s="65" t="s">
        <v>665</v>
      </c>
      <c r="E31" s="65" t="s">
        <v>532</v>
      </c>
      <c r="F31" s="65" t="s">
        <v>106</v>
      </c>
      <c r="G31" s="65" t="s">
        <v>107</v>
      </c>
      <c r="H31" s="65" t="s">
        <v>60</v>
      </c>
      <c r="I31" s="65" t="s">
        <v>159</v>
      </c>
      <c r="J31" s="65" t="s">
        <v>489</v>
      </c>
      <c r="K31" s="65" t="s">
        <v>155</v>
      </c>
      <c r="L31" s="65"/>
      <c r="M31" s="132">
        <v>6000</v>
      </c>
      <c r="N31" s="65"/>
      <c r="O31" s="65"/>
      <c r="P31" s="65"/>
      <c r="Q31" s="65"/>
      <c r="R31" s="100"/>
      <c r="S31" s="138"/>
      <c r="T31" s="145"/>
      <c r="U31" s="151"/>
      <c r="V31" s="120"/>
      <c r="W31" s="115"/>
      <c r="X31" s="109"/>
      <c r="Y31" s="127"/>
      <c r="Z31" s="65"/>
      <c r="AA31" s="65"/>
      <c r="AB31" s="65"/>
      <c r="AC31" s="65"/>
      <c r="AD31" s="65"/>
      <c r="AE31" s="65"/>
      <c r="AF31" s="65" t="s">
        <v>478</v>
      </c>
    </row>
    <row r="32" spans="1:32" ht="19.5" x14ac:dyDescent="0.4">
      <c r="A32" s="57" t="s">
        <v>97</v>
      </c>
      <c r="B32" s="64" t="s">
        <v>143</v>
      </c>
      <c r="C32" s="65" t="s">
        <v>657</v>
      </c>
      <c r="D32" s="65" t="s">
        <v>664</v>
      </c>
      <c r="E32" s="65" t="s">
        <v>545</v>
      </c>
      <c r="F32" s="65" t="s">
        <v>106</v>
      </c>
      <c r="G32" s="65" t="s">
        <v>107</v>
      </c>
      <c r="H32" s="65" t="s">
        <v>61</v>
      </c>
      <c r="I32" s="65" t="s">
        <v>493</v>
      </c>
      <c r="J32" s="65" t="s">
        <v>490</v>
      </c>
      <c r="K32" s="65" t="s">
        <v>155</v>
      </c>
      <c r="L32" s="65"/>
      <c r="M32" s="65"/>
      <c r="N32" s="65"/>
      <c r="O32" s="65"/>
      <c r="P32" s="65"/>
      <c r="Q32" s="65"/>
      <c r="R32" s="100"/>
      <c r="S32" s="138"/>
      <c r="T32" s="145"/>
      <c r="U32" s="151"/>
      <c r="V32" s="120"/>
      <c r="W32" s="115"/>
      <c r="X32" s="109"/>
      <c r="Y32" s="127"/>
      <c r="Z32" s="65"/>
      <c r="AA32" s="65"/>
      <c r="AB32" s="65"/>
      <c r="AC32" s="65"/>
      <c r="AD32" s="65"/>
      <c r="AE32" s="65"/>
      <c r="AF32" s="65"/>
    </row>
    <row r="33" spans="1:32" ht="19.5" x14ac:dyDescent="0.4">
      <c r="A33" s="57" t="s">
        <v>98</v>
      </c>
      <c r="B33" s="64" t="s">
        <v>144</v>
      </c>
      <c r="C33" s="65" t="s">
        <v>55</v>
      </c>
      <c r="D33" s="65" t="s">
        <v>764</v>
      </c>
      <c r="E33" s="65" t="s">
        <v>547</v>
      </c>
      <c r="F33" s="65" t="s">
        <v>106</v>
      </c>
      <c r="G33" s="65" t="s">
        <v>107</v>
      </c>
      <c r="H33" s="65" t="s">
        <v>61</v>
      </c>
      <c r="I33" s="65" t="s">
        <v>6</v>
      </c>
      <c r="J33" s="65" t="s">
        <v>491</v>
      </c>
      <c r="K33" s="65" t="s">
        <v>155</v>
      </c>
      <c r="L33" s="65"/>
      <c r="M33" s="65"/>
      <c r="N33" s="65"/>
      <c r="O33" s="65"/>
      <c r="P33" s="65"/>
      <c r="Q33" s="65"/>
      <c r="R33" s="100"/>
      <c r="S33" s="138"/>
      <c r="T33" s="145"/>
      <c r="U33" s="151"/>
      <c r="V33" s="120"/>
      <c r="W33" s="115"/>
      <c r="X33" s="109"/>
      <c r="Y33" s="127"/>
      <c r="Z33" s="65"/>
      <c r="AA33" s="65"/>
      <c r="AB33" s="65"/>
      <c r="AC33" s="65"/>
      <c r="AD33" s="65"/>
      <c r="AE33" s="65"/>
      <c r="AF33" s="65"/>
    </row>
    <row r="34" spans="1:32" ht="19.5" x14ac:dyDescent="0.4">
      <c r="A34" s="57" t="s">
        <v>99</v>
      </c>
      <c r="B34" s="64" t="s">
        <v>145</v>
      </c>
      <c r="C34" s="65" t="s">
        <v>56</v>
      </c>
      <c r="D34" s="65"/>
      <c r="E34" s="65" t="s">
        <v>599</v>
      </c>
      <c r="F34" s="65" t="s">
        <v>106</v>
      </c>
      <c r="G34" s="65" t="s">
        <v>107</v>
      </c>
      <c r="H34" s="65" t="s">
        <v>61</v>
      </c>
      <c r="I34" s="65" t="s">
        <v>6</v>
      </c>
      <c r="J34" s="65" t="s">
        <v>488</v>
      </c>
      <c r="K34" s="65" t="s">
        <v>155</v>
      </c>
      <c r="L34" s="65"/>
      <c r="M34" s="65"/>
      <c r="N34" s="65"/>
      <c r="O34" s="65"/>
      <c r="P34" s="65"/>
      <c r="Q34" s="65"/>
      <c r="R34" s="100"/>
      <c r="S34" s="138"/>
      <c r="T34" s="145"/>
      <c r="U34" s="151"/>
      <c r="V34" s="120"/>
      <c r="W34" s="115"/>
      <c r="X34" s="109"/>
      <c r="Y34" s="127"/>
      <c r="Z34" s="65"/>
      <c r="AA34" s="65"/>
      <c r="AB34" s="65"/>
      <c r="AC34" s="65"/>
      <c r="AD34" s="65"/>
      <c r="AE34" s="65"/>
      <c r="AF34" s="65"/>
    </row>
    <row r="35" spans="1:32" ht="19.5" x14ac:dyDescent="0.4">
      <c r="A35" s="57" t="s">
        <v>100</v>
      </c>
      <c r="B35" s="64" t="s">
        <v>146</v>
      </c>
      <c r="C35" s="65" t="s">
        <v>63</v>
      </c>
      <c r="D35" s="65" t="s">
        <v>765</v>
      </c>
      <c r="E35" s="65" t="s">
        <v>549</v>
      </c>
      <c r="F35" s="65" t="s">
        <v>106</v>
      </c>
      <c r="G35" s="65" t="s">
        <v>107</v>
      </c>
      <c r="H35" s="65" t="s">
        <v>61</v>
      </c>
      <c r="I35" s="65" t="s">
        <v>6</v>
      </c>
      <c r="J35" s="65" t="s">
        <v>492</v>
      </c>
      <c r="K35" s="65" t="s">
        <v>155</v>
      </c>
      <c r="L35" s="65"/>
      <c r="M35" s="65"/>
      <c r="N35" s="65"/>
      <c r="O35" s="65"/>
      <c r="P35" s="65"/>
      <c r="Q35" s="65"/>
      <c r="R35" s="100"/>
      <c r="S35" s="138"/>
      <c r="T35" s="145"/>
      <c r="U35" s="151"/>
      <c r="V35" s="120"/>
      <c r="W35" s="115"/>
      <c r="X35" s="109"/>
      <c r="Y35" s="127"/>
      <c r="Z35" s="65"/>
      <c r="AA35" s="65"/>
      <c r="AB35" s="65"/>
      <c r="AC35" s="65"/>
      <c r="AD35" s="65"/>
      <c r="AE35" s="65"/>
      <c r="AF35" s="65"/>
    </row>
    <row r="36" spans="1:32" ht="19.5" x14ac:dyDescent="0.4">
      <c r="A36" s="57" t="s">
        <v>101</v>
      </c>
      <c r="B36" s="64" t="s">
        <v>147</v>
      </c>
      <c r="C36" s="65" t="s">
        <v>505</v>
      </c>
      <c r="D36" s="65" t="s">
        <v>766</v>
      </c>
      <c r="E36" s="65" t="s">
        <v>599</v>
      </c>
      <c r="F36" s="65" t="s">
        <v>106</v>
      </c>
      <c r="G36" s="65" t="s">
        <v>107</v>
      </c>
      <c r="H36" s="65" t="s">
        <v>61</v>
      </c>
      <c r="I36" s="65" t="s">
        <v>6</v>
      </c>
      <c r="J36" s="66">
        <v>45847</v>
      </c>
      <c r="K36" s="65" t="s">
        <v>155</v>
      </c>
      <c r="L36" s="65"/>
      <c r="M36" s="65"/>
      <c r="N36" s="65"/>
      <c r="O36" s="65"/>
      <c r="P36" s="65"/>
      <c r="Q36" s="65"/>
      <c r="R36" s="100"/>
      <c r="S36" s="138"/>
      <c r="T36" s="145"/>
      <c r="U36" s="151"/>
      <c r="V36" s="120"/>
      <c r="W36" s="115"/>
      <c r="X36" s="109"/>
      <c r="Y36" s="127"/>
      <c r="Z36" s="65"/>
      <c r="AA36" s="65"/>
      <c r="AB36" s="65"/>
      <c r="AC36" s="65"/>
      <c r="AD36" s="65"/>
      <c r="AE36" s="65"/>
      <c r="AF36" s="65"/>
    </row>
    <row r="37" spans="1:32" ht="19.5" x14ac:dyDescent="0.4">
      <c r="A37" s="57" t="s">
        <v>102</v>
      </c>
      <c r="B37" s="64" t="s">
        <v>148</v>
      </c>
      <c r="C37" s="65" t="s">
        <v>767</v>
      </c>
      <c r="D37" s="65"/>
      <c r="E37" s="65"/>
      <c r="F37" s="65" t="s">
        <v>106</v>
      </c>
      <c r="G37" s="65" t="s">
        <v>107</v>
      </c>
      <c r="H37" s="65" t="s">
        <v>503</v>
      </c>
      <c r="I37" s="65" t="s">
        <v>6</v>
      </c>
      <c r="J37" s="65" t="s">
        <v>504</v>
      </c>
      <c r="K37" s="65" t="s">
        <v>155</v>
      </c>
      <c r="L37" s="65"/>
      <c r="M37" s="65"/>
      <c r="N37" s="65"/>
      <c r="O37" s="65"/>
      <c r="P37" s="65"/>
      <c r="Q37" s="65"/>
      <c r="R37" s="100"/>
      <c r="S37" s="138"/>
      <c r="T37" s="145"/>
      <c r="U37" s="151"/>
      <c r="V37" s="120"/>
      <c r="W37" s="115"/>
      <c r="X37" s="109"/>
      <c r="Y37" s="127"/>
      <c r="Z37" s="65"/>
      <c r="AA37" s="65"/>
      <c r="AB37" s="65"/>
      <c r="AC37" s="65"/>
      <c r="AD37" s="65"/>
      <c r="AE37" s="65"/>
      <c r="AF37" s="65"/>
    </row>
    <row r="38" spans="1:32" ht="15" customHeight="1" x14ac:dyDescent="0.4">
      <c r="A38" s="57" t="s">
        <v>103</v>
      </c>
      <c r="B38" s="64" t="s">
        <v>149</v>
      </c>
      <c r="C38" s="65" t="s">
        <v>184</v>
      </c>
      <c r="D38" s="65"/>
      <c r="E38" s="65"/>
      <c r="F38" s="65" t="s">
        <v>106</v>
      </c>
      <c r="G38" s="65" t="s">
        <v>163</v>
      </c>
      <c r="H38" s="65" t="s">
        <v>46</v>
      </c>
      <c r="I38" s="65" t="s">
        <v>157</v>
      </c>
      <c r="J38" s="65"/>
      <c r="K38" s="65" t="s">
        <v>279</v>
      </c>
      <c r="L38" s="65"/>
      <c r="M38" s="65"/>
      <c r="N38" s="65"/>
      <c r="O38" s="65"/>
      <c r="P38" s="65"/>
      <c r="Q38" s="65"/>
      <c r="R38" s="100"/>
      <c r="S38" s="138"/>
      <c r="T38" s="145"/>
      <c r="U38" s="151"/>
      <c r="V38" s="120"/>
      <c r="W38" s="115"/>
      <c r="X38" s="110">
        <v>5000</v>
      </c>
      <c r="Y38" s="127"/>
      <c r="Z38" s="65"/>
      <c r="AA38" s="65"/>
      <c r="AB38" s="65"/>
      <c r="AC38" s="65"/>
      <c r="AD38" s="65"/>
      <c r="AE38" s="65"/>
      <c r="AF38" s="65"/>
    </row>
    <row r="39" spans="1:32" ht="19.5" x14ac:dyDescent="0.4">
      <c r="A39" s="57" t="s">
        <v>281</v>
      </c>
      <c r="B39" s="64" t="s">
        <v>150</v>
      </c>
      <c r="C39" s="68" t="s">
        <v>223</v>
      </c>
      <c r="D39" s="68" t="s">
        <v>601</v>
      </c>
      <c r="E39" s="68" t="s">
        <v>532</v>
      </c>
      <c r="F39" s="65" t="s">
        <v>106</v>
      </c>
      <c r="G39" s="68" t="s">
        <v>163</v>
      </c>
      <c r="H39" s="69">
        <v>45996</v>
      </c>
      <c r="I39" s="68" t="s">
        <v>156</v>
      </c>
      <c r="J39" s="70" t="s">
        <v>477</v>
      </c>
      <c r="K39" s="68" t="s">
        <v>158</v>
      </c>
      <c r="L39" s="157">
        <v>16000</v>
      </c>
      <c r="M39" s="68"/>
      <c r="N39" s="68"/>
      <c r="O39" s="157">
        <v>16000</v>
      </c>
      <c r="P39" s="68"/>
      <c r="Q39" s="68"/>
      <c r="R39" s="100"/>
      <c r="S39" s="139"/>
      <c r="T39" s="145"/>
      <c r="U39" s="151"/>
      <c r="V39" s="120"/>
      <c r="W39" s="115"/>
      <c r="X39" s="109"/>
      <c r="Y39" s="127"/>
      <c r="Z39" s="65"/>
      <c r="AA39" s="65"/>
      <c r="AB39" s="65"/>
      <c r="AC39" s="65"/>
      <c r="AD39" s="65"/>
      <c r="AE39" s="65"/>
      <c r="AF39" s="65"/>
    </row>
    <row r="40" spans="1:32" ht="19.5" x14ac:dyDescent="0.4">
      <c r="A40" s="58" t="s">
        <v>170</v>
      </c>
      <c r="B40" s="64" t="s">
        <v>151</v>
      </c>
      <c r="C40" s="65" t="s">
        <v>17</v>
      </c>
      <c r="D40" s="65" t="s">
        <v>602</v>
      </c>
      <c r="E40" s="65" t="s">
        <v>532</v>
      </c>
      <c r="F40" s="65" t="s">
        <v>106</v>
      </c>
      <c r="G40" s="68" t="s">
        <v>163</v>
      </c>
      <c r="H40" s="68" t="s">
        <v>40</v>
      </c>
      <c r="I40" s="68" t="s">
        <v>156</v>
      </c>
      <c r="J40" s="68"/>
      <c r="K40" s="68" t="s">
        <v>158</v>
      </c>
      <c r="L40" s="68"/>
      <c r="M40" s="68"/>
      <c r="N40" s="68"/>
      <c r="O40" s="68"/>
      <c r="P40" s="68"/>
      <c r="Q40" s="68"/>
      <c r="R40" s="100"/>
      <c r="S40" s="139"/>
      <c r="T40" s="145"/>
      <c r="U40" s="151"/>
      <c r="V40" s="120"/>
      <c r="W40" s="115"/>
      <c r="X40" s="109"/>
      <c r="Y40" s="127"/>
      <c r="Z40" s="65"/>
      <c r="AA40" s="65"/>
      <c r="AB40" s="65"/>
      <c r="AC40" s="65"/>
      <c r="AD40" s="65"/>
      <c r="AE40" s="65"/>
      <c r="AF40" s="65"/>
    </row>
    <row r="41" spans="1:32" ht="19.5" x14ac:dyDescent="0.4">
      <c r="A41" s="58" t="s">
        <v>224</v>
      </c>
      <c r="B41" s="64" t="s">
        <v>152</v>
      </c>
      <c r="C41" s="65" t="s">
        <v>18</v>
      </c>
      <c r="D41" s="65"/>
      <c r="E41" s="65"/>
      <c r="F41" s="65" t="s">
        <v>106</v>
      </c>
      <c r="G41" s="65" t="s">
        <v>163</v>
      </c>
      <c r="H41" s="65" t="s">
        <v>508</v>
      </c>
      <c r="I41" s="65" t="s">
        <v>156</v>
      </c>
      <c r="J41" s="65"/>
      <c r="K41" s="65" t="s">
        <v>155</v>
      </c>
      <c r="L41" s="65"/>
      <c r="M41" s="65"/>
      <c r="N41" s="65"/>
      <c r="O41" s="65"/>
      <c r="P41" s="65"/>
      <c r="Q41" s="65"/>
      <c r="R41" s="100"/>
      <c r="S41" s="138"/>
      <c r="T41" s="145"/>
      <c r="U41" s="151"/>
      <c r="V41" s="120"/>
      <c r="W41" s="115"/>
      <c r="X41" s="109"/>
      <c r="Y41" s="127"/>
      <c r="Z41" s="65"/>
      <c r="AA41" s="65"/>
      <c r="AB41" s="65"/>
      <c r="AC41" s="65"/>
      <c r="AD41" s="65"/>
      <c r="AE41" s="65"/>
      <c r="AF41" s="65" t="s">
        <v>682</v>
      </c>
    </row>
    <row r="42" spans="1:32" ht="19.5" x14ac:dyDescent="0.4">
      <c r="A42" s="57" t="s">
        <v>193</v>
      </c>
      <c r="B42" s="64" t="s">
        <v>291</v>
      </c>
      <c r="C42" s="65" t="s">
        <v>161</v>
      </c>
      <c r="D42" s="65" t="s">
        <v>586</v>
      </c>
      <c r="E42" s="65" t="s">
        <v>587</v>
      </c>
      <c r="F42" s="65" t="s">
        <v>106</v>
      </c>
      <c r="G42" s="65" t="s">
        <v>163</v>
      </c>
      <c r="H42" s="65"/>
      <c r="I42" s="65" t="s">
        <v>157</v>
      </c>
      <c r="J42" s="65"/>
      <c r="K42" s="65" t="s">
        <v>155</v>
      </c>
      <c r="L42" s="65"/>
      <c r="M42" s="65"/>
      <c r="N42" s="65"/>
      <c r="O42" s="65"/>
      <c r="P42" s="132">
        <v>5000</v>
      </c>
      <c r="Q42" s="65"/>
      <c r="R42" s="100"/>
      <c r="S42" s="138"/>
      <c r="T42" s="145"/>
      <c r="U42" s="152">
        <v>10000</v>
      </c>
      <c r="V42" s="120"/>
      <c r="W42" s="115"/>
      <c r="X42" s="109"/>
      <c r="Y42" s="127"/>
      <c r="Z42" s="65"/>
      <c r="AA42" s="65"/>
      <c r="AB42" s="65"/>
      <c r="AC42" s="65"/>
      <c r="AD42" s="65"/>
      <c r="AE42" s="65"/>
      <c r="AF42" s="65"/>
    </row>
    <row r="43" spans="1:32" ht="19.5" x14ac:dyDescent="0.4">
      <c r="A43" s="57" t="s">
        <v>241</v>
      </c>
      <c r="B43" s="64" t="s">
        <v>292</v>
      </c>
      <c r="C43" s="65" t="s">
        <v>168</v>
      </c>
      <c r="D43" s="65" t="s">
        <v>616</v>
      </c>
      <c r="E43" s="65"/>
      <c r="F43" s="65" t="s">
        <v>106</v>
      </c>
      <c r="G43" s="65" t="s">
        <v>163</v>
      </c>
      <c r="H43" s="66">
        <v>45939</v>
      </c>
      <c r="I43" s="65" t="s">
        <v>159</v>
      </c>
      <c r="J43" s="66">
        <v>45972</v>
      </c>
      <c r="K43" s="65" t="s">
        <v>155</v>
      </c>
      <c r="L43" s="65"/>
      <c r="M43" s="65"/>
      <c r="N43" s="65"/>
      <c r="O43" s="65"/>
      <c r="P43" s="132">
        <v>2500</v>
      </c>
      <c r="Q43" s="132">
        <v>4000</v>
      </c>
      <c r="R43" s="100"/>
      <c r="S43" s="138"/>
      <c r="T43" s="145"/>
      <c r="U43" s="151"/>
      <c r="V43" s="120"/>
      <c r="W43" s="115"/>
      <c r="X43" s="109"/>
      <c r="Y43" s="127"/>
      <c r="Z43" s="65"/>
      <c r="AA43" s="65"/>
      <c r="AB43" s="65"/>
      <c r="AC43" s="65"/>
      <c r="AD43" s="65"/>
      <c r="AE43" s="65"/>
      <c r="AF43" s="65"/>
    </row>
    <row r="44" spans="1:32" ht="19.5" x14ac:dyDescent="0.4">
      <c r="A44" s="57" t="s">
        <v>162</v>
      </c>
      <c r="B44" s="64" t="s">
        <v>293</v>
      </c>
      <c r="C44" s="65" t="s">
        <v>202</v>
      </c>
      <c r="D44" s="65" t="s">
        <v>617</v>
      </c>
      <c r="E44" s="65"/>
      <c r="F44" s="65" t="s">
        <v>106</v>
      </c>
      <c r="G44" s="65" t="s">
        <v>163</v>
      </c>
      <c r="H44" s="66">
        <v>45939</v>
      </c>
      <c r="I44" s="65" t="s">
        <v>159</v>
      </c>
      <c r="J44" s="65" t="s">
        <v>494</v>
      </c>
      <c r="K44" s="65" t="s">
        <v>158</v>
      </c>
      <c r="L44" s="65"/>
      <c r="M44" s="65"/>
      <c r="N44" s="65"/>
      <c r="O44" s="65"/>
      <c r="P44" s="132">
        <v>2500</v>
      </c>
      <c r="Q44" s="132">
        <v>2000</v>
      </c>
      <c r="R44" s="100"/>
      <c r="S44" s="138"/>
      <c r="T44" s="146">
        <v>10000</v>
      </c>
      <c r="U44" s="152">
        <v>10000</v>
      </c>
      <c r="V44" s="120"/>
      <c r="W44" s="115"/>
      <c r="X44" s="109"/>
      <c r="Y44" s="127"/>
      <c r="Z44" s="65"/>
      <c r="AA44" s="65"/>
      <c r="AB44" s="65"/>
      <c r="AC44" s="65"/>
      <c r="AD44" s="65"/>
      <c r="AE44" s="65"/>
      <c r="AF44" s="65"/>
    </row>
    <row r="45" spans="1:32" ht="19.5" x14ac:dyDescent="0.4">
      <c r="A45" s="57" t="s">
        <v>169</v>
      </c>
      <c r="B45" s="64" t="s">
        <v>294</v>
      </c>
      <c r="C45" s="65" t="s">
        <v>283</v>
      </c>
      <c r="D45" s="65" t="s">
        <v>565</v>
      </c>
      <c r="E45" s="65" t="s">
        <v>532</v>
      </c>
      <c r="F45" s="65" t="s">
        <v>106</v>
      </c>
      <c r="G45" s="65" t="s">
        <v>160</v>
      </c>
      <c r="H45" s="66">
        <v>45727</v>
      </c>
      <c r="I45" s="65" t="s">
        <v>6</v>
      </c>
      <c r="J45" s="65"/>
      <c r="K45" s="65" t="s">
        <v>279</v>
      </c>
      <c r="L45" s="65"/>
      <c r="M45" s="65"/>
      <c r="N45" s="65"/>
      <c r="O45" s="65"/>
      <c r="P45" s="65"/>
      <c r="Q45" s="132">
        <v>11000</v>
      </c>
      <c r="R45" s="134">
        <v>8500</v>
      </c>
      <c r="S45" s="138"/>
      <c r="T45" s="145"/>
      <c r="U45" s="151"/>
      <c r="V45" s="120"/>
      <c r="W45" s="115"/>
      <c r="X45" s="109"/>
      <c r="Y45" s="127"/>
      <c r="Z45" s="65"/>
      <c r="AA45" s="65"/>
      <c r="AB45" s="65"/>
      <c r="AC45" s="65"/>
      <c r="AD45" s="65"/>
      <c r="AE45" s="65"/>
      <c r="AF45" s="65"/>
    </row>
    <row r="46" spans="1:32" ht="19.5" x14ac:dyDescent="0.4">
      <c r="A46" s="57" t="s">
        <v>203</v>
      </c>
      <c r="B46" s="64" t="s">
        <v>295</v>
      </c>
      <c r="C46" s="65" t="s">
        <v>232</v>
      </c>
      <c r="D46" s="65" t="s">
        <v>593</v>
      </c>
      <c r="E46" s="65" t="s">
        <v>594</v>
      </c>
      <c r="F46" s="65" t="s">
        <v>106</v>
      </c>
      <c r="G46" s="65" t="s">
        <v>163</v>
      </c>
      <c r="H46" s="66">
        <v>45849</v>
      </c>
      <c r="I46" s="65" t="s">
        <v>156</v>
      </c>
      <c r="J46" s="65"/>
      <c r="K46" s="65" t="s">
        <v>279</v>
      </c>
      <c r="L46" s="65"/>
      <c r="M46" s="132">
        <v>1000</v>
      </c>
      <c r="N46" s="65"/>
      <c r="O46" s="65"/>
      <c r="P46" s="132">
        <v>1000</v>
      </c>
      <c r="Q46" s="65"/>
      <c r="R46" s="134">
        <v>3500</v>
      </c>
      <c r="S46" s="138"/>
      <c r="T46" s="146">
        <v>2500</v>
      </c>
      <c r="U46" s="151"/>
      <c r="V46" s="121">
        <v>12000</v>
      </c>
      <c r="W46" s="115"/>
      <c r="X46" s="109"/>
      <c r="Y46" s="127"/>
      <c r="Z46" s="65"/>
      <c r="AA46" s="65"/>
      <c r="AB46" s="65"/>
      <c r="AC46" s="65"/>
      <c r="AD46" s="65"/>
      <c r="AE46" s="65"/>
      <c r="AF46" s="65"/>
    </row>
    <row r="47" spans="1:32" ht="19.5" x14ac:dyDescent="0.4">
      <c r="A47" s="57" t="s">
        <v>282</v>
      </c>
      <c r="B47" s="64" t="s">
        <v>296</v>
      </c>
      <c r="C47" s="65" t="s">
        <v>590</v>
      </c>
      <c r="D47" s="65" t="s">
        <v>591</v>
      </c>
      <c r="E47" s="65" t="s">
        <v>592</v>
      </c>
      <c r="F47" s="65" t="s">
        <v>106</v>
      </c>
      <c r="G47" s="65" t="s">
        <v>163</v>
      </c>
      <c r="H47" s="65" t="s">
        <v>482</v>
      </c>
      <c r="I47" s="65" t="s">
        <v>156</v>
      </c>
      <c r="J47" s="65"/>
      <c r="K47" s="65" t="s">
        <v>279</v>
      </c>
      <c r="L47" s="65"/>
      <c r="M47" s="65"/>
      <c r="N47" s="65"/>
      <c r="O47" s="65"/>
      <c r="P47" s="132">
        <v>5000</v>
      </c>
      <c r="Q47" s="132">
        <v>5000</v>
      </c>
      <c r="R47" s="134">
        <v>5000</v>
      </c>
      <c r="S47" s="138"/>
      <c r="T47" s="145"/>
      <c r="U47" s="151"/>
      <c r="V47" s="121">
        <v>5000</v>
      </c>
      <c r="W47" s="115"/>
      <c r="X47" s="110">
        <v>5000</v>
      </c>
      <c r="Y47" s="127"/>
      <c r="Z47" s="65"/>
      <c r="AA47" s="65"/>
      <c r="AB47" s="65"/>
      <c r="AC47" s="65"/>
      <c r="AD47" s="65"/>
      <c r="AE47" s="65"/>
      <c r="AF47" s="65"/>
    </row>
    <row r="48" spans="1:32" ht="19.5" x14ac:dyDescent="0.4">
      <c r="A48" s="57" t="s">
        <v>233</v>
      </c>
      <c r="B48" s="64" t="s">
        <v>297</v>
      </c>
      <c r="C48" s="65" t="s">
        <v>185</v>
      </c>
      <c r="D48" s="65" t="s">
        <v>584</v>
      </c>
      <c r="E48" s="65" t="s">
        <v>585</v>
      </c>
      <c r="F48" s="65" t="s">
        <v>106</v>
      </c>
      <c r="G48" s="65" t="s">
        <v>163</v>
      </c>
      <c r="H48" s="65"/>
      <c r="I48" s="65" t="s">
        <v>157</v>
      </c>
      <c r="J48" s="65"/>
      <c r="K48" s="65" t="s">
        <v>279</v>
      </c>
      <c r="L48" s="65"/>
      <c r="M48" s="65"/>
      <c r="N48" s="65"/>
      <c r="O48" s="65"/>
      <c r="P48" s="65"/>
      <c r="Q48" s="65"/>
      <c r="R48" s="134">
        <v>6000</v>
      </c>
      <c r="S48" s="156">
        <v>3000</v>
      </c>
      <c r="T48" s="146">
        <v>5000</v>
      </c>
      <c r="U48" s="152">
        <v>10000</v>
      </c>
      <c r="V48" s="121">
        <v>5000</v>
      </c>
      <c r="W48" s="115"/>
      <c r="X48" s="109"/>
      <c r="Y48" s="127"/>
      <c r="Z48" s="65"/>
      <c r="AA48" s="65"/>
      <c r="AB48" s="65"/>
      <c r="AC48" s="65"/>
      <c r="AD48" s="65"/>
      <c r="AE48" s="65"/>
      <c r="AF48" s="65"/>
    </row>
    <row r="49" spans="1:32" ht="19.5" x14ac:dyDescent="0.4">
      <c r="A49" s="57" t="s">
        <v>231</v>
      </c>
      <c r="B49" s="64" t="s">
        <v>298</v>
      </c>
      <c r="C49" s="65" t="s">
        <v>178</v>
      </c>
      <c r="D49" s="65" t="s">
        <v>580</v>
      </c>
      <c r="E49" s="65" t="s">
        <v>581</v>
      </c>
      <c r="F49" s="65" t="s">
        <v>106</v>
      </c>
      <c r="G49" s="65" t="s">
        <v>163</v>
      </c>
      <c r="H49" s="65"/>
      <c r="I49" s="65" t="s">
        <v>159</v>
      </c>
      <c r="J49" s="65"/>
      <c r="K49" s="65" t="s">
        <v>279</v>
      </c>
      <c r="L49" s="65"/>
      <c r="M49" s="65"/>
      <c r="N49" s="65"/>
      <c r="O49" s="65"/>
      <c r="P49" s="65"/>
      <c r="Q49" s="65"/>
      <c r="R49" s="100"/>
      <c r="S49" s="138"/>
      <c r="T49" s="146">
        <v>20000</v>
      </c>
      <c r="U49" s="151"/>
      <c r="V49" s="120"/>
      <c r="W49" s="115"/>
      <c r="X49" s="109"/>
      <c r="Y49" s="127"/>
      <c r="Z49" s="65"/>
      <c r="AA49" s="65"/>
      <c r="AB49" s="65"/>
      <c r="AC49" s="65"/>
      <c r="AD49" s="65"/>
      <c r="AE49" s="65"/>
      <c r="AF49" s="65"/>
    </row>
    <row r="50" spans="1:32" ht="19.5" x14ac:dyDescent="0.4">
      <c r="A50" s="57" t="s">
        <v>186</v>
      </c>
      <c r="B50" s="64" t="s">
        <v>299</v>
      </c>
      <c r="C50" s="65" t="s">
        <v>200</v>
      </c>
      <c r="D50" s="65" t="s">
        <v>582</v>
      </c>
      <c r="E50" s="65" t="s">
        <v>583</v>
      </c>
      <c r="F50" s="65" t="s">
        <v>106</v>
      </c>
      <c r="G50" s="65" t="s">
        <v>163</v>
      </c>
      <c r="H50" s="65"/>
      <c r="I50" s="65" t="s">
        <v>6</v>
      </c>
      <c r="J50" s="65"/>
      <c r="K50" s="65" t="s">
        <v>279</v>
      </c>
      <c r="L50" s="65"/>
      <c r="M50" s="65"/>
      <c r="N50" s="65"/>
      <c r="O50" s="65"/>
      <c r="P50" s="65"/>
      <c r="Q50" s="65"/>
      <c r="R50" s="100"/>
      <c r="S50" s="156">
        <v>1000</v>
      </c>
      <c r="T50" s="146">
        <v>5000</v>
      </c>
      <c r="U50" s="152">
        <v>5000</v>
      </c>
      <c r="V50" s="120"/>
      <c r="W50" s="116">
        <v>4000</v>
      </c>
      <c r="X50" s="110">
        <v>6000</v>
      </c>
      <c r="Y50" s="127"/>
      <c r="Z50" s="65"/>
      <c r="AA50" s="65"/>
      <c r="AB50" s="65"/>
      <c r="AC50" s="65"/>
      <c r="AD50" s="65"/>
      <c r="AE50" s="65"/>
      <c r="AF50" s="65"/>
    </row>
    <row r="51" spans="1:32" ht="19.5" x14ac:dyDescent="0.4">
      <c r="A51" s="57" t="s">
        <v>179</v>
      </c>
      <c r="B51" s="64" t="s">
        <v>300</v>
      </c>
      <c r="C51" s="65" t="s">
        <v>775</v>
      </c>
      <c r="D51" s="65" t="s">
        <v>574</v>
      </c>
      <c r="E51" s="65" t="s">
        <v>575</v>
      </c>
      <c r="F51" s="65" t="s">
        <v>106</v>
      </c>
      <c r="G51" s="65" t="s">
        <v>163</v>
      </c>
      <c r="H51" s="65"/>
      <c r="I51" s="65" t="s">
        <v>6</v>
      </c>
      <c r="J51" s="65"/>
      <c r="K51" s="65" t="s">
        <v>279</v>
      </c>
      <c r="L51" s="65"/>
      <c r="M51" s="65"/>
      <c r="N51" s="65"/>
      <c r="O51" s="65"/>
      <c r="P51" s="65"/>
      <c r="Q51" s="65"/>
      <c r="R51" s="100"/>
      <c r="S51" s="138"/>
      <c r="T51" s="146">
        <v>6000</v>
      </c>
      <c r="U51" s="152">
        <v>7000</v>
      </c>
      <c r="V51" s="121">
        <v>3000</v>
      </c>
      <c r="W51" s="115"/>
      <c r="X51" s="109"/>
      <c r="Y51" s="127"/>
      <c r="Z51" s="65"/>
      <c r="AA51" s="65"/>
      <c r="AB51" s="65"/>
      <c r="AC51" s="65"/>
      <c r="AD51" s="65"/>
      <c r="AE51" s="65"/>
      <c r="AF51" s="65"/>
    </row>
    <row r="52" spans="1:32" ht="19.5" x14ac:dyDescent="0.4">
      <c r="A52" s="57" t="s">
        <v>201</v>
      </c>
      <c r="B52" s="64" t="s">
        <v>301</v>
      </c>
      <c r="C52" s="65" t="s">
        <v>196</v>
      </c>
      <c r="D52" s="65"/>
      <c r="E52" s="65" t="s">
        <v>571</v>
      </c>
      <c r="F52" s="65" t="s">
        <v>106</v>
      </c>
      <c r="G52" s="65" t="s">
        <v>163</v>
      </c>
      <c r="H52" s="65"/>
      <c r="I52" s="65" t="s">
        <v>6</v>
      </c>
      <c r="J52" s="65"/>
      <c r="K52" s="65" t="s">
        <v>155</v>
      </c>
      <c r="L52" s="65"/>
      <c r="M52" s="65"/>
      <c r="N52" s="65"/>
      <c r="O52" s="65"/>
      <c r="P52" s="65"/>
      <c r="Q52" s="65"/>
      <c r="R52" s="100"/>
      <c r="S52" s="138"/>
      <c r="T52" s="145"/>
      <c r="U52" s="151"/>
      <c r="V52" s="120"/>
      <c r="W52" s="115"/>
      <c r="X52" s="109"/>
      <c r="Y52" s="127"/>
      <c r="Z52" s="65"/>
      <c r="AA52" s="65"/>
      <c r="AB52" s="65"/>
      <c r="AC52" s="65"/>
      <c r="AD52" s="65"/>
      <c r="AE52" s="65"/>
      <c r="AF52" s="65"/>
    </row>
    <row r="53" spans="1:32" ht="19.5" x14ac:dyDescent="0.4">
      <c r="A53" s="57" t="s">
        <v>192</v>
      </c>
      <c r="B53" s="64" t="s">
        <v>302</v>
      </c>
      <c r="C53" s="65" t="s">
        <v>187</v>
      </c>
      <c r="D53" s="65" t="s">
        <v>573</v>
      </c>
      <c r="E53" s="65" t="s">
        <v>532</v>
      </c>
      <c r="F53" s="65" t="s">
        <v>106</v>
      </c>
      <c r="G53" s="65" t="s">
        <v>163</v>
      </c>
      <c r="H53" s="65"/>
      <c r="I53" s="65" t="s">
        <v>6</v>
      </c>
      <c r="J53" s="65"/>
      <c r="K53" s="65" t="s">
        <v>279</v>
      </c>
      <c r="L53" s="65"/>
      <c r="M53" s="65"/>
      <c r="N53" s="65"/>
      <c r="O53" s="65"/>
      <c r="P53" s="65"/>
      <c r="Q53" s="65"/>
      <c r="R53" s="100"/>
      <c r="S53" s="138"/>
      <c r="T53" s="146">
        <v>1000</v>
      </c>
      <c r="U53" s="152">
        <v>7500</v>
      </c>
      <c r="V53" s="121">
        <v>7500</v>
      </c>
      <c r="W53" s="116">
        <v>7500</v>
      </c>
      <c r="X53" s="110">
        <v>7500</v>
      </c>
      <c r="Y53" s="127"/>
      <c r="Z53" s="65"/>
      <c r="AA53" s="65"/>
      <c r="AB53" s="65"/>
      <c r="AC53" s="65"/>
      <c r="AD53" s="65"/>
      <c r="AE53" s="65"/>
      <c r="AF53" s="65"/>
    </row>
    <row r="54" spans="1:32" ht="19.5" x14ac:dyDescent="0.4">
      <c r="A54" s="57" t="s">
        <v>197</v>
      </c>
      <c r="B54" s="64" t="s">
        <v>303</v>
      </c>
      <c r="C54" s="65" t="s">
        <v>214</v>
      </c>
      <c r="D54" s="65" t="s">
        <v>579</v>
      </c>
      <c r="E54" s="65" t="s">
        <v>532</v>
      </c>
      <c r="F54" s="65" t="s">
        <v>106</v>
      </c>
      <c r="G54" s="65" t="s">
        <v>163</v>
      </c>
      <c r="H54" s="65"/>
      <c r="I54" s="65" t="s">
        <v>6</v>
      </c>
      <c r="J54" s="65"/>
      <c r="K54" s="65" t="s">
        <v>279</v>
      </c>
      <c r="L54" s="65"/>
      <c r="M54" s="65"/>
      <c r="N54" s="65"/>
      <c r="O54" s="65"/>
      <c r="P54" s="65"/>
      <c r="Q54" s="65"/>
      <c r="R54" s="100"/>
      <c r="S54" s="138"/>
      <c r="T54" s="146">
        <v>12000</v>
      </c>
      <c r="U54" s="151"/>
      <c r="V54" s="120"/>
      <c r="W54" s="115"/>
      <c r="X54" s="110">
        <v>13000</v>
      </c>
      <c r="Y54" s="127"/>
      <c r="Z54" s="65"/>
      <c r="AA54" s="65"/>
      <c r="AB54" s="65"/>
      <c r="AC54" s="65"/>
      <c r="AD54" s="65"/>
      <c r="AE54" s="65"/>
      <c r="AF54" s="65"/>
    </row>
    <row r="55" spans="1:32" ht="19.5" x14ac:dyDescent="0.4">
      <c r="A55" s="57" t="s">
        <v>188</v>
      </c>
      <c r="B55" s="64" t="s">
        <v>304</v>
      </c>
      <c r="C55" s="65" t="s">
        <v>216</v>
      </c>
      <c r="D55" s="65" t="s">
        <v>578</v>
      </c>
      <c r="E55" s="65" t="s">
        <v>532</v>
      </c>
      <c r="F55" s="65" t="s">
        <v>106</v>
      </c>
      <c r="G55" s="65" t="s">
        <v>163</v>
      </c>
      <c r="H55" s="65"/>
      <c r="I55" s="65" t="s">
        <v>6</v>
      </c>
      <c r="J55" s="65"/>
      <c r="K55" s="65" t="s">
        <v>279</v>
      </c>
      <c r="L55" s="65"/>
      <c r="M55" s="65"/>
      <c r="N55" s="65"/>
      <c r="O55" s="65"/>
      <c r="P55" s="65"/>
      <c r="Q55" s="65"/>
      <c r="R55" s="100"/>
      <c r="S55" s="138"/>
      <c r="T55" s="146">
        <v>10500</v>
      </c>
      <c r="U55" s="151"/>
      <c r="V55" s="121">
        <v>7500</v>
      </c>
      <c r="W55" s="115"/>
      <c r="X55" s="109"/>
      <c r="Y55" s="128">
        <v>7500</v>
      </c>
      <c r="Z55" s="65"/>
      <c r="AA55" s="65"/>
      <c r="AB55" s="65"/>
      <c r="AC55" s="65"/>
      <c r="AD55" s="65"/>
      <c r="AE55" s="65"/>
      <c r="AF55" s="65"/>
    </row>
    <row r="56" spans="1:32" ht="19.5" x14ac:dyDescent="0.4">
      <c r="A56" s="57" t="s">
        <v>215</v>
      </c>
      <c r="B56" s="64" t="s">
        <v>305</v>
      </c>
      <c r="C56" s="65" t="s">
        <v>218</v>
      </c>
      <c r="D56" s="65"/>
      <c r="E56" s="65" t="s">
        <v>561</v>
      </c>
      <c r="F56" s="65" t="s">
        <v>106</v>
      </c>
      <c r="G56" s="65" t="s">
        <v>220</v>
      </c>
      <c r="H56" s="66">
        <v>45992</v>
      </c>
      <c r="I56" s="65" t="s">
        <v>6</v>
      </c>
      <c r="J56" s="65" t="s">
        <v>511</v>
      </c>
      <c r="K56" s="65" t="s">
        <v>155</v>
      </c>
      <c r="L56" s="65"/>
      <c r="M56" s="65"/>
      <c r="N56" s="65"/>
      <c r="O56" s="65"/>
      <c r="P56" s="65"/>
      <c r="Q56" s="65"/>
      <c r="R56" s="100"/>
      <c r="S56" s="138"/>
      <c r="T56" s="146">
        <v>1000</v>
      </c>
      <c r="U56" s="151"/>
      <c r="V56" s="120"/>
      <c r="W56" s="115"/>
      <c r="X56" s="109"/>
      <c r="Y56" s="127"/>
      <c r="Z56" s="65"/>
      <c r="AA56" s="65"/>
      <c r="AB56" s="65"/>
      <c r="AC56" s="65"/>
      <c r="AD56" s="65"/>
      <c r="AE56" s="65"/>
      <c r="AF56" s="65"/>
    </row>
    <row r="57" spans="1:32" ht="19.5" x14ac:dyDescent="0.4">
      <c r="A57" s="57" t="s">
        <v>217</v>
      </c>
      <c r="B57" s="64" t="s">
        <v>306</v>
      </c>
      <c r="C57" s="65" t="s">
        <v>225</v>
      </c>
      <c r="D57" s="65">
        <v>721551459</v>
      </c>
      <c r="E57" s="65" t="s">
        <v>532</v>
      </c>
      <c r="F57" s="65" t="s">
        <v>106</v>
      </c>
      <c r="G57" s="65" t="s">
        <v>220</v>
      </c>
      <c r="H57" s="65" t="s">
        <v>510</v>
      </c>
      <c r="I57" s="65" t="s">
        <v>6</v>
      </c>
      <c r="J57" s="65"/>
      <c r="K57" s="65" t="s">
        <v>155</v>
      </c>
      <c r="L57" s="65"/>
      <c r="M57" s="65"/>
      <c r="N57" s="65"/>
      <c r="O57" s="65"/>
      <c r="P57" s="65"/>
      <c r="Q57" s="65"/>
      <c r="R57" s="100"/>
      <c r="S57" s="138"/>
      <c r="T57" s="146"/>
      <c r="U57" s="152">
        <v>1000</v>
      </c>
      <c r="V57" s="121">
        <v>8000</v>
      </c>
      <c r="W57" s="115"/>
      <c r="X57" s="110">
        <v>8000</v>
      </c>
      <c r="Y57" s="127"/>
      <c r="Z57" s="65"/>
      <c r="AA57" s="65"/>
      <c r="AB57" s="65"/>
      <c r="AC57" s="65"/>
      <c r="AD57" s="65"/>
      <c r="AE57" s="65"/>
      <c r="AF57" s="65"/>
    </row>
    <row r="58" spans="1:32" ht="19.5" x14ac:dyDescent="0.4">
      <c r="A58" s="57" t="s">
        <v>219</v>
      </c>
      <c r="B58" s="64" t="s">
        <v>307</v>
      </c>
      <c r="C58" s="65" t="s">
        <v>189</v>
      </c>
      <c r="D58" s="65" t="s">
        <v>576</v>
      </c>
      <c r="E58" s="65" t="s">
        <v>577</v>
      </c>
      <c r="F58" s="65" t="s">
        <v>106</v>
      </c>
      <c r="G58" s="65" t="s">
        <v>163</v>
      </c>
      <c r="H58" s="65"/>
      <c r="I58" s="65" t="s">
        <v>6</v>
      </c>
      <c r="J58" s="65"/>
      <c r="K58" s="65" t="s">
        <v>279</v>
      </c>
      <c r="L58" s="65"/>
      <c r="M58" s="65"/>
      <c r="N58" s="65"/>
      <c r="O58" s="65"/>
      <c r="P58" s="65"/>
      <c r="Q58" s="65"/>
      <c r="R58" s="100"/>
      <c r="S58" s="138"/>
      <c r="T58" s="146">
        <v>7500</v>
      </c>
      <c r="U58" s="151"/>
      <c r="V58" s="121">
        <v>31000</v>
      </c>
      <c r="W58" s="116">
        <v>9500</v>
      </c>
      <c r="X58" s="110">
        <v>30000</v>
      </c>
      <c r="Y58" s="127"/>
      <c r="Z58" s="65"/>
      <c r="AA58" s="65"/>
      <c r="AB58" s="65"/>
      <c r="AC58" s="65"/>
      <c r="AD58" s="65"/>
      <c r="AE58" s="65"/>
      <c r="AF58" s="65"/>
    </row>
    <row r="59" spans="1:32" ht="19.5" x14ac:dyDescent="0.4">
      <c r="A59" s="57" t="s">
        <v>226</v>
      </c>
      <c r="B59" s="64" t="s">
        <v>308</v>
      </c>
      <c r="C59" s="65" t="s">
        <v>221</v>
      </c>
      <c r="D59" s="65" t="s">
        <v>566</v>
      </c>
      <c r="E59" s="65"/>
      <c r="F59" s="65" t="s">
        <v>106</v>
      </c>
      <c r="G59" s="65" t="s">
        <v>160</v>
      </c>
      <c r="H59" s="65"/>
      <c r="I59" s="65" t="s">
        <v>159</v>
      </c>
      <c r="J59" s="65"/>
      <c r="K59" s="65" t="s">
        <v>279</v>
      </c>
      <c r="L59" s="65"/>
      <c r="M59" s="65"/>
      <c r="N59" s="65"/>
      <c r="O59" s="65"/>
      <c r="P59" s="65"/>
      <c r="Q59" s="132">
        <v>8500</v>
      </c>
      <c r="R59" s="100"/>
      <c r="S59" s="138"/>
      <c r="T59" s="146">
        <v>7500</v>
      </c>
      <c r="U59" s="151"/>
      <c r="V59" s="120"/>
      <c r="W59" s="115"/>
      <c r="X59" s="109"/>
      <c r="Y59" s="127"/>
      <c r="Z59" s="65"/>
      <c r="AA59" s="65"/>
      <c r="AB59" s="65"/>
      <c r="AC59" s="65"/>
      <c r="AD59" s="65"/>
      <c r="AE59" s="65"/>
      <c r="AF59" s="65"/>
    </row>
    <row r="60" spans="1:32" s="106" customFormat="1" ht="19.5" x14ac:dyDescent="0.4">
      <c r="A60" s="106" t="s">
        <v>190</v>
      </c>
      <c r="B60" s="104" t="s">
        <v>309</v>
      </c>
      <c r="C60" s="68" t="s">
        <v>176</v>
      </c>
      <c r="D60" s="68" t="s">
        <v>627</v>
      </c>
      <c r="E60" s="68"/>
      <c r="F60" s="68" t="s">
        <v>106</v>
      </c>
      <c r="G60" s="68" t="s">
        <v>220</v>
      </c>
      <c r="H60" s="69">
        <v>45874</v>
      </c>
      <c r="I60" s="68" t="s">
        <v>6</v>
      </c>
      <c r="J60" s="70" t="s">
        <v>511</v>
      </c>
      <c r="K60" s="68" t="s">
        <v>279</v>
      </c>
      <c r="L60" s="68"/>
      <c r="M60" s="68"/>
      <c r="N60" s="68"/>
      <c r="O60" s="68"/>
      <c r="P60" s="68"/>
      <c r="Q60" s="68"/>
      <c r="R60" s="134">
        <v>5000</v>
      </c>
      <c r="S60" s="139"/>
      <c r="T60" s="145"/>
      <c r="U60" s="151"/>
      <c r="V60" s="111"/>
      <c r="W60" s="115"/>
      <c r="X60" s="111"/>
      <c r="Y60" s="127"/>
      <c r="Z60" s="68"/>
      <c r="AA60" s="68"/>
      <c r="AB60" s="68"/>
      <c r="AC60" s="68"/>
      <c r="AD60" s="68"/>
      <c r="AE60" s="68"/>
      <c r="AF60" s="68"/>
    </row>
    <row r="61" spans="1:32" ht="19.5" x14ac:dyDescent="0.4">
      <c r="A61" s="57" t="s">
        <v>222</v>
      </c>
      <c r="B61" s="64" t="s">
        <v>310</v>
      </c>
      <c r="C61" s="65" t="s">
        <v>262</v>
      </c>
      <c r="D61" s="65" t="s">
        <v>622</v>
      </c>
      <c r="E61" s="65" t="s">
        <v>628</v>
      </c>
      <c r="F61" s="65" t="s">
        <v>106</v>
      </c>
      <c r="G61" s="65" t="s">
        <v>160</v>
      </c>
      <c r="H61" s="66">
        <v>45758</v>
      </c>
      <c r="I61" s="65" t="s">
        <v>6</v>
      </c>
      <c r="J61" s="65"/>
      <c r="K61" s="65" t="s">
        <v>155</v>
      </c>
      <c r="L61" s="65"/>
      <c r="M61" s="65"/>
      <c r="N61" s="65"/>
      <c r="O61" s="65"/>
      <c r="P61" s="65"/>
      <c r="Q61" s="65"/>
      <c r="R61" s="100"/>
      <c r="S61" s="138"/>
      <c r="T61" s="145"/>
      <c r="U61" s="151"/>
      <c r="V61" s="120"/>
      <c r="W61" s="115"/>
      <c r="X61" s="109"/>
      <c r="Y61" s="127"/>
      <c r="Z61" s="65"/>
      <c r="AA61" s="65"/>
      <c r="AB61" s="65"/>
      <c r="AC61" s="65"/>
      <c r="AD61" s="65"/>
      <c r="AE61" s="65"/>
      <c r="AF61" s="65"/>
    </row>
    <row r="62" spans="1:32" ht="19.5" x14ac:dyDescent="0.4">
      <c r="A62" s="57" t="s">
        <v>177</v>
      </c>
      <c r="B62" s="64" t="s">
        <v>311</v>
      </c>
      <c r="C62" s="65" t="s">
        <v>266</v>
      </c>
      <c r="D62" s="65" t="s">
        <v>625</v>
      </c>
      <c r="E62" s="65"/>
      <c r="F62" s="65" t="s">
        <v>106</v>
      </c>
      <c r="G62" s="65" t="s">
        <v>160</v>
      </c>
      <c r="H62" s="66">
        <v>45727</v>
      </c>
      <c r="I62" s="65" t="s">
        <v>157</v>
      </c>
      <c r="J62" s="65"/>
      <c r="K62" s="65" t="s">
        <v>155</v>
      </c>
      <c r="L62" s="65"/>
      <c r="M62" s="65"/>
      <c r="N62" s="65"/>
      <c r="O62" s="65"/>
      <c r="P62" s="65"/>
      <c r="Q62" s="65"/>
      <c r="R62" s="134">
        <v>4500</v>
      </c>
      <c r="S62" s="138"/>
      <c r="T62" s="145"/>
      <c r="U62" s="151"/>
      <c r="V62" s="120"/>
      <c r="W62" s="115"/>
      <c r="X62" s="109"/>
      <c r="Y62" s="127"/>
      <c r="Z62" s="65"/>
      <c r="AA62" s="65"/>
      <c r="AB62" s="65"/>
      <c r="AC62" s="65"/>
      <c r="AD62" s="65"/>
      <c r="AE62" s="65"/>
      <c r="AF62" s="65"/>
    </row>
    <row r="63" spans="1:32" ht="19.5" x14ac:dyDescent="0.4">
      <c r="A63" s="57" t="s">
        <v>263</v>
      </c>
      <c r="B63" s="64" t="s">
        <v>312</v>
      </c>
      <c r="C63" s="65" t="s">
        <v>242</v>
      </c>
      <c r="D63" s="65" t="s">
        <v>623</v>
      </c>
      <c r="E63" s="65" t="s">
        <v>646</v>
      </c>
      <c r="F63" s="65" t="s">
        <v>106</v>
      </c>
      <c r="G63" s="65" t="s">
        <v>160</v>
      </c>
      <c r="H63" s="66">
        <v>45727</v>
      </c>
      <c r="I63" s="65" t="s">
        <v>6</v>
      </c>
      <c r="J63" s="65"/>
      <c r="K63" s="65" t="s">
        <v>155</v>
      </c>
      <c r="L63" s="65"/>
      <c r="M63" s="65"/>
      <c r="N63" s="65"/>
      <c r="O63" s="65"/>
      <c r="P63" s="65"/>
      <c r="Q63" s="65"/>
      <c r="R63" s="100"/>
      <c r="S63" s="138"/>
      <c r="T63" s="145"/>
      <c r="U63" s="151"/>
      <c r="V63" s="120"/>
      <c r="W63" s="115"/>
      <c r="X63" s="109"/>
      <c r="Y63" s="127"/>
      <c r="Z63" s="65"/>
      <c r="AA63" s="65"/>
      <c r="AB63" s="65"/>
      <c r="AC63" s="65"/>
      <c r="AD63" s="65"/>
      <c r="AE63" s="65"/>
      <c r="AF63" s="65"/>
    </row>
    <row r="64" spans="1:32" ht="19.5" x14ac:dyDescent="0.4">
      <c r="A64" s="57" t="s">
        <v>267</v>
      </c>
      <c r="B64" s="64" t="s">
        <v>313</v>
      </c>
      <c r="C64" s="65" t="s">
        <v>264</v>
      </c>
      <c r="D64" s="65" t="s">
        <v>624</v>
      </c>
      <c r="E64" s="65" t="s">
        <v>676</v>
      </c>
      <c r="F64" s="65" t="s">
        <v>106</v>
      </c>
      <c r="G64" s="65" t="s">
        <v>160</v>
      </c>
      <c r="H64" s="65" t="s">
        <v>495</v>
      </c>
      <c r="I64" s="65" t="s">
        <v>6</v>
      </c>
      <c r="J64" s="65"/>
      <c r="K64" s="65" t="s">
        <v>155</v>
      </c>
      <c r="L64" s="65"/>
      <c r="M64" s="65"/>
      <c r="N64" s="65"/>
      <c r="O64" s="65"/>
      <c r="P64" s="65"/>
      <c r="Q64" s="65"/>
      <c r="R64" s="134">
        <v>3000</v>
      </c>
      <c r="S64" s="138"/>
      <c r="T64" s="145"/>
      <c r="U64" s="151"/>
      <c r="V64" s="120"/>
      <c r="W64" s="115"/>
      <c r="X64" s="109"/>
      <c r="Y64" s="127"/>
      <c r="Z64" s="65"/>
      <c r="AA64" s="65"/>
      <c r="AB64" s="65"/>
      <c r="AC64" s="65"/>
      <c r="AD64" s="65"/>
      <c r="AE64" s="65"/>
      <c r="AF64" s="65"/>
    </row>
    <row r="65" spans="1:32" s="106" customFormat="1" ht="19.5" x14ac:dyDescent="0.4">
      <c r="A65" s="106" t="s">
        <v>243</v>
      </c>
      <c r="B65" s="104" t="s">
        <v>314</v>
      </c>
      <c r="C65" s="68" t="s">
        <v>268</v>
      </c>
      <c r="D65" s="68" t="s">
        <v>626</v>
      </c>
      <c r="E65" s="68" t="s">
        <v>629</v>
      </c>
      <c r="F65" s="68" t="s">
        <v>106</v>
      </c>
      <c r="G65" s="68" t="s">
        <v>160</v>
      </c>
      <c r="H65" s="69">
        <v>45727</v>
      </c>
      <c r="I65" s="68" t="s">
        <v>159</v>
      </c>
      <c r="J65" s="68"/>
      <c r="K65" s="68" t="s">
        <v>155</v>
      </c>
      <c r="L65" s="68"/>
      <c r="M65" s="68"/>
      <c r="N65" s="68"/>
      <c r="O65" s="68"/>
      <c r="P65" s="68"/>
      <c r="Q65" s="157">
        <v>2500</v>
      </c>
      <c r="R65" s="134">
        <v>3500</v>
      </c>
      <c r="S65" s="139"/>
      <c r="T65" s="145"/>
      <c r="U65" s="151"/>
      <c r="V65" s="111"/>
      <c r="W65" s="115"/>
      <c r="X65" s="111"/>
      <c r="Y65" s="127"/>
      <c r="Z65" s="68"/>
      <c r="AA65" s="68"/>
      <c r="AB65" s="68"/>
      <c r="AC65" s="68"/>
      <c r="AD65" s="68"/>
      <c r="AE65" s="68"/>
      <c r="AF65" s="68"/>
    </row>
    <row r="66" spans="1:32" ht="19.5" x14ac:dyDescent="0.4">
      <c r="A66" s="57" t="s">
        <v>265</v>
      </c>
      <c r="B66" s="64" t="s">
        <v>315</v>
      </c>
      <c r="C66" s="65" t="s">
        <v>270</v>
      </c>
      <c r="D66" s="65" t="s">
        <v>621</v>
      </c>
      <c r="E66" s="65" t="s">
        <v>761</v>
      </c>
      <c r="F66" s="65" t="s">
        <v>106</v>
      </c>
      <c r="G66" s="65" t="s">
        <v>160</v>
      </c>
      <c r="H66" s="66">
        <v>45727</v>
      </c>
      <c r="I66" s="65" t="s">
        <v>6</v>
      </c>
      <c r="J66" s="65"/>
      <c r="K66" s="65" t="s">
        <v>155</v>
      </c>
      <c r="L66" s="65"/>
      <c r="M66" s="65"/>
      <c r="N66" s="65"/>
      <c r="O66" s="65"/>
      <c r="P66" s="65"/>
      <c r="Q66" s="132">
        <v>2500</v>
      </c>
      <c r="R66" s="134">
        <v>2000</v>
      </c>
      <c r="S66" s="138"/>
      <c r="T66" s="145"/>
      <c r="U66" s="151"/>
      <c r="V66" s="120"/>
      <c r="W66" s="115"/>
      <c r="X66" s="109"/>
      <c r="Y66" s="127"/>
      <c r="Z66" s="65"/>
      <c r="AA66" s="65"/>
      <c r="AB66" s="65"/>
      <c r="AC66" s="65"/>
      <c r="AD66" s="65"/>
      <c r="AE66" s="65"/>
      <c r="AF66" s="65"/>
    </row>
    <row r="67" spans="1:32" ht="15" customHeight="1" x14ac:dyDescent="0.4">
      <c r="A67" s="57" t="s">
        <v>269</v>
      </c>
      <c r="B67" s="64" t="s">
        <v>316</v>
      </c>
      <c r="C67" s="65" t="s">
        <v>287</v>
      </c>
      <c r="D67" s="65" t="s">
        <v>560</v>
      </c>
      <c r="E67" s="65" t="s">
        <v>561</v>
      </c>
      <c r="F67" s="65" t="s">
        <v>106</v>
      </c>
      <c r="G67" s="65" t="s">
        <v>160</v>
      </c>
      <c r="H67" s="66">
        <v>45727</v>
      </c>
      <c r="I67" s="65" t="s">
        <v>6</v>
      </c>
      <c r="J67" s="65"/>
      <c r="K67" s="65" t="s">
        <v>279</v>
      </c>
      <c r="L67" s="65"/>
      <c r="M67" s="65"/>
      <c r="N67" s="65"/>
      <c r="O67" s="65"/>
      <c r="P67" s="65"/>
      <c r="Q67" s="65"/>
      <c r="R67" s="100"/>
      <c r="S67" s="138"/>
      <c r="T67" s="145"/>
      <c r="U67" s="151"/>
      <c r="V67" s="120"/>
      <c r="W67" s="115"/>
      <c r="X67" s="110">
        <v>4000</v>
      </c>
      <c r="Y67" s="127"/>
      <c r="Z67" s="65"/>
      <c r="AA67" s="65"/>
      <c r="AB67" s="65"/>
      <c r="AC67" s="65"/>
      <c r="AD67" s="65"/>
      <c r="AE67" s="65"/>
      <c r="AF67" s="65"/>
    </row>
    <row r="68" spans="1:32" ht="15" customHeight="1" x14ac:dyDescent="0.4">
      <c r="A68" s="57" t="s">
        <v>271</v>
      </c>
      <c r="B68" s="64" t="s">
        <v>317</v>
      </c>
      <c r="C68" s="65" t="s">
        <v>166</v>
      </c>
      <c r="D68" s="65" t="s">
        <v>572</v>
      </c>
      <c r="E68" s="65" t="s">
        <v>532</v>
      </c>
      <c r="F68" s="65" t="s">
        <v>106</v>
      </c>
      <c r="G68" s="65" t="s">
        <v>163</v>
      </c>
      <c r="H68" s="65"/>
      <c r="I68" s="65" t="s">
        <v>6</v>
      </c>
      <c r="J68" s="65"/>
      <c r="K68" s="65" t="s">
        <v>279</v>
      </c>
      <c r="L68" s="65"/>
      <c r="M68" s="65"/>
      <c r="N68" s="65"/>
      <c r="O68" s="65"/>
      <c r="P68" s="65"/>
      <c r="Q68" s="65"/>
      <c r="R68" s="100"/>
      <c r="S68" s="138"/>
      <c r="T68" s="146">
        <v>5000</v>
      </c>
      <c r="U68" s="151"/>
      <c r="V68" s="121">
        <v>10000</v>
      </c>
      <c r="W68" s="115"/>
      <c r="X68" s="110">
        <v>5000</v>
      </c>
      <c r="Y68" s="127"/>
      <c r="Z68" s="65"/>
      <c r="AA68" s="65"/>
      <c r="AB68" s="65"/>
      <c r="AC68" s="65"/>
      <c r="AD68" s="65"/>
      <c r="AE68" s="65"/>
      <c r="AF68" s="65"/>
    </row>
    <row r="69" spans="1:32" ht="19.5" x14ac:dyDescent="0.4">
      <c r="A69" s="57" t="s">
        <v>286</v>
      </c>
      <c r="B69" s="64" t="s">
        <v>318</v>
      </c>
      <c r="C69" s="65" t="s">
        <v>164</v>
      </c>
      <c r="D69" s="65"/>
      <c r="E69" s="65" t="s">
        <v>532</v>
      </c>
      <c r="F69" s="65" t="s">
        <v>106</v>
      </c>
      <c r="G69" s="65" t="s">
        <v>160</v>
      </c>
      <c r="H69" s="65"/>
      <c r="I69" s="65" t="s">
        <v>6</v>
      </c>
      <c r="J69" s="65"/>
      <c r="K69" s="65" t="s">
        <v>155</v>
      </c>
      <c r="L69" s="65"/>
      <c r="M69" s="65"/>
      <c r="N69" s="65"/>
      <c r="O69" s="65"/>
      <c r="P69" s="65"/>
      <c r="Q69" s="65"/>
      <c r="R69" s="100"/>
      <c r="S69" s="138"/>
      <c r="T69" s="145"/>
      <c r="U69" s="151"/>
      <c r="V69" s="120"/>
      <c r="W69" s="115"/>
      <c r="X69" s="109"/>
      <c r="Y69" s="127"/>
      <c r="Z69" s="65"/>
      <c r="AA69" s="65"/>
      <c r="AB69" s="65"/>
      <c r="AC69" s="65"/>
      <c r="AD69" s="65"/>
      <c r="AE69" s="65"/>
      <c r="AF69" s="65"/>
    </row>
    <row r="70" spans="1:32" ht="19.5" x14ac:dyDescent="0.4">
      <c r="A70" s="57" t="s">
        <v>167</v>
      </c>
      <c r="B70" s="64" t="s">
        <v>319</v>
      </c>
      <c r="C70" s="65" t="s">
        <v>285</v>
      </c>
      <c r="D70" s="65" t="s">
        <v>562</v>
      </c>
      <c r="E70" s="65" t="s">
        <v>563</v>
      </c>
      <c r="F70" s="65" t="s">
        <v>106</v>
      </c>
      <c r="G70" s="65" t="s">
        <v>160</v>
      </c>
      <c r="H70" s="65" t="s">
        <v>59</v>
      </c>
      <c r="I70" s="65" t="s">
        <v>6</v>
      </c>
      <c r="J70" s="65"/>
      <c r="K70" s="65" t="s">
        <v>279</v>
      </c>
      <c r="L70" s="65"/>
      <c r="M70" s="65"/>
      <c r="N70" s="65"/>
      <c r="O70" s="65"/>
      <c r="P70" s="65"/>
      <c r="Q70" s="65"/>
      <c r="R70" s="100"/>
      <c r="S70" s="138"/>
      <c r="T70" s="145"/>
      <c r="U70" s="151"/>
      <c r="V70" s="120"/>
      <c r="W70" s="115"/>
      <c r="X70" s="109"/>
      <c r="Y70" s="127"/>
      <c r="Z70" s="65"/>
      <c r="AA70" s="65"/>
      <c r="AB70" s="65"/>
      <c r="AC70" s="65"/>
      <c r="AD70" s="65"/>
      <c r="AE70" s="65"/>
      <c r="AF70" s="65"/>
    </row>
    <row r="71" spans="1:32" ht="19.5" x14ac:dyDescent="0.4">
      <c r="A71" s="57" t="s">
        <v>165</v>
      </c>
      <c r="B71" s="64" t="s">
        <v>320</v>
      </c>
      <c r="C71" s="65" t="s">
        <v>210</v>
      </c>
      <c r="D71" s="65" t="s">
        <v>655</v>
      </c>
      <c r="E71" s="65" t="s">
        <v>532</v>
      </c>
      <c r="F71" s="65" t="s">
        <v>106</v>
      </c>
      <c r="G71" s="65" t="s">
        <v>163</v>
      </c>
      <c r="H71" s="65"/>
      <c r="I71" s="65" t="s">
        <v>156</v>
      </c>
      <c r="J71" s="65"/>
      <c r="K71" s="65" t="s">
        <v>155</v>
      </c>
      <c r="L71" s="65"/>
      <c r="M71" s="132">
        <v>5000</v>
      </c>
      <c r="N71" s="65"/>
      <c r="O71" s="65"/>
      <c r="P71" s="65"/>
      <c r="Q71" s="65"/>
      <c r="R71" s="134">
        <v>5000</v>
      </c>
      <c r="S71" s="138"/>
      <c r="T71" s="145"/>
      <c r="U71" s="151"/>
      <c r="V71" s="120"/>
      <c r="W71" s="115"/>
      <c r="X71" s="109"/>
      <c r="Y71" s="127"/>
      <c r="Z71" s="65"/>
      <c r="AA71" s="65"/>
      <c r="AB71" s="65"/>
      <c r="AC71" s="65"/>
      <c r="AD71" s="65"/>
      <c r="AE71" s="65"/>
      <c r="AF71" s="65"/>
    </row>
    <row r="72" spans="1:32" ht="19.5" x14ac:dyDescent="0.4">
      <c r="A72" s="57" t="s">
        <v>284</v>
      </c>
      <c r="B72" s="64" t="s">
        <v>321</v>
      </c>
      <c r="C72" s="65" t="s">
        <v>227</v>
      </c>
      <c r="D72" s="65"/>
      <c r="E72" s="65" t="s">
        <v>545</v>
      </c>
      <c r="F72" s="65" t="s">
        <v>106</v>
      </c>
      <c r="G72" s="65" t="s">
        <v>107</v>
      </c>
      <c r="H72" s="65"/>
      <c r="I72" s="65" t="s">
        <v>6</v>
      </c>
      <c r="J72" s="65"/>
      <c r="K72" s="65" t="s">
        <v>155</v>
      </c>
      <c r="L72" s="65"/>
      <c r="M72" s="65"/>
      <c r="N72" s="65"/>
      <c r="O72" s="65"/>
      <c r="P72" s="65"/>
      <c r="Q72" s="65"/>
      <c r="R72" s="100"/>
      <c r="S72" s="138"/>
      <c r="T72" s="145"/>
      <c r="U72" s="151"/>
      <c r="V72" s="120"/>
      <c r="W72" s="115"/>
      <c r="X72" s="109"/>
      <c r="Y72" s="127"/>
      <c r="Z72" s="65"/>
      <c r="AA72" s="65"/>
      <c r="AB72" s="65"/>
      <c r="AC72" s="65"/>
      <c r="AD72" s="65"/>
      <c r="AE72" s="65"/>
      <c r="AF72" s="65"/>
    </row>
    <row r="73" spans="1:32" ht="19.5" x14ac:dyDescent="0.4">
      <c r="A73" s="57" t="s">
        <v>211</v>
      </c>
      <c r="B73" s="104" t="s">
        <v>322</v>
      </c>
      <c r="C73" s="65" t="s">
        <v>244</v>
      </c>
      <c r="D73" s="65" t="s">
        <v>595</v>
      </c>
      <c r="E73" s="65" t="s">
        <v>596</v>
      </c>
      <c r="F73" s="65" t="s">
        <v>106</v>
      </c>
      <c r="G73" s="65" t="s">
        <v>163</v>
      </c>
      <c r="H73" s="66">
        <v>45909</v>
      </c>
      <c r="I73" s="65" t="s">
        <v>156</v>
      </c>
      <c r="J73" s="65"/>
      <c r="K73" s="65" t="s">
        <v>279</v>
      </c>
      <c r="L73" s="65"/>
      <c r="M73" s="65"/>
      <c r="N73" s="65"/>
      <c r="O73" s="65"/>
      <c r="P73" s="132">
        <v>6000</v>
      </c>
      <c r="Q73" s="65"/>
      <c r="R73" s="100"/>
      <c r="S73" s="138"/>
      <c r="T73" s="145"/>
      <c r="U73" s="151"/>
      <c r="V73" s="120" t="s">
        <v>606</v>
      </c>
      <c r="W73" s="115"/>
      <c r="X73" s="110">
        <v>2500</v>
      </c>
      <c r="Y73" s="127"/>
      <c r="Z73" s="65"/>
      <c r="AA73" s="65"/>
      <c r="AB73" s="65"/>
      <c r="AC73" s="65"/>
      <c r="AD73" s="65"/>
      <c r="AE73" s="65"/>
      <c r="AF73" s="65"/>
    </row>
    <row r="74" spans="1:32" ht="19.5" x14ac:dyDescent="0.4">
      <c r="A74" s="57" t="s">
        <v>228</v>
      </c>
      <c r="B74" s="64" t="s">
        <v>323</v>
      </c>
      <c r="C74" s="65" t="s">
        <v>272</v>
      </c>
      <c r="D74" s="65" t="s">
        <v>651</v>
      </c>
      <c r="E74" s="65" t="s">
        <v>546</v>
      </c>
      <c r="F74" s="65" t="s">
        <v>106</v>
      </c>
      <c r="G74" s="65" t="s">
        <v>107</v>
      </c>
      <c r="H74" s="66">
        <v>45725</v>
      </c>
      <c r="I74" s="65" t="s">
        <v>6</v>
      </c>
      <c r="J74" s="65" t="s">
        <v>483</v>
      </c>
      <c r="K74" s="65" t="s">
        <v>155</v>
      </c>
      <c r="L74" s="65"/>
      <c r="M74" s="132">
        <v>1000</v>
      </c>
      <c r="N74" s="65"/>
      <c r="O74" s="65"/>
      <c r="P74" s="132">
        <v>3000</v>
      </c>
      <c r="Q74" s="65"/>
      <c r="R74" s="100"/>
      <c r="S74" s="138"/>
      <c r="T74" s="145"/>
      <c r="U74" s="151"/>
      <c r="V74" s="120"/>
      <c r="W74" s="115"/>
      <c r="X74" s="109"/>
      <c r="Y74" s="127"/>
      <c r="Z74" s="65"/>
      <c r="AA74" s="65"/>
      <c r="AB74" s="65"/>
      <c r="AC74" s="65"/>
      <c r="AD74" s="65"/>
      <c r="AE74" s="65"/>
      <c r="AF74" s="65"/>
    </row>
    <row r="75" spans="1:32" ht="19.5" x14ac:dyDescent="0.4">
      <c r="A75" s="57" t="s">
        <v>245</v>
      </c>
      <c r="B75" s="104" t="s">
        <v>324</v>
      </c>
      <c r="C75" s="65" t="s">
        <v>274</v>
      </c>
      <c r="D75" s="65" t="s">
        <v>654</v>
      </c>
      <c r="E75" s="65" t="s">
        <v>648</v>
      </c>
      <c r="F75" s="65" t="s">
        <v>106</v>
      </c>
      <c r="G75" s="65" t="s">
        <v>107</v>
      </c>
      <c r="H75" s="66">
        <v>45667</v>
      </c>
      <c r="I75" s="65" t="s">
        <v>6</v>
      </c>
      <c r="J75" s="65" t="s">
        <v>502</v>
      </c>
      <c r="K75" s="65" t="s">
        <v>155</v>
      </c>
      <c r="L75" s="65"/>
      <c r="M75" s="132"/>
      <c r="N75" s="65"/>
      <c r="O75" s="65"/>
      <c r="P75" s="132">
        <v>4500</v>
      </c>
      <c r="Q75" s="65"/>
      <c r="R75" s="100"/>
      <c r="S75" s="138"/>
      <c r="T75" s="145"/>
      <c r="U75" s="151"/>
      <c r="V75" s="120"/>
      <c r="W75" s="115"/>
      <c r="X75" s="109"/>
      <c r="Y75" s="127"/>
      <c r="Z75" s="65"/>
      <c r="AA75" s="65"/>
      <c r="AB75" s="65"/>
      <c r="AC75" s="65"/>
      <c r="AD75" s="65"/>
      <c r="AE75" s="65"/>
      <c r="AF75" s="65"/>
    </row>
    <row r="76" spans="1:32" ht="19.5" x14ac:dyDescent="0.4">
      <c r="A76" s="57" t="s">
        <v>273</v>
      </c>
      <c r="B76" s="64" t="s">
        <v>325</v>
      </c>
      <c r="C76" s="65" t="s">
        <v>173</v>
      </c>
      <c r="D76" s="65" t="s">
        <v>588</v>
      </c>
      <c r="E76" s="65" t="s">
        <v>589</v>
      </c>
      <c r="F76" s="65" t="s">
        <v>106</v>
      </c>
      <c r="G76" s="65" t="s">
        <v>163</v>
      </c>
      <c r="H76" s="66">
        <v>45667</v>
      </c>
      <c r="I76" s="65" t="s">
        <v>157</v>
      </c>
      <c r="J76" s="65"/>
      <c r="K76" s="65" t="s">
        <v>279</v>
      </c>
      <c r="L76" s="65"/>
      <c r="M76" s="65"/>
      <c r="N76" s="65"/>
      <c r="O76" s="65"/>
      <c r="P76" s="65"/>
      <c r="Q76" s="132">
        <v>4000</v>
      </c>
      <c r="R76" s="134">
        <v>4000</v>
      </c>
      <c r="S76" s="138"/>
      <c r="T76" s="145"/>
      <c r="U76" s="152">
        <v>10000</v>
      </c>
      <c r="V76" s="121">
        <v>5000</v>
      </c>
      <c r="W76" s="116">
        <v>5000</v>
      </c>
      <c r="X76" s="110">
        <v>10000</v>
      </c>
      <c r="Y76" s="127"/>
      <c r="Z76" s="65"/>
      <c r="AA76" s="65"/>
      <c r="AB76" s="65"/>
      <c r="AC76" s="65"/>
      <c r="AD76" s="65"/>
      <c r="AE76" s="65"/>
      <c r="AF76" s="65"/>
    </row>
    <row r="77" spans="1:32" ht="14.25" customHeight="1" x14ac:dyDescent="0.4">
      <c r="A77" s="57" t="s">
        <v>275</v>
      </c>
      <c r="B77" s="64" t="s">
        <v>326</v>
      </c>
      <c r="C77" s="65" t="s">
        <v>198</v>
      </c>
      <c r="D77" s="65"/>
      <c r="E77" s="65" t="s">
        <v>762</v>
      </c>
      <c r="F77" s="65" t="s">
        <v>106</v>
      </c>
      <c r="G77" s="65" t="s">
        <v>163</v>
      </c>
      <c r="H77" s="65" t="s">
        <v>503</v>
      </c>
      <c r="I77" s="65" t="s">
        <v>156</v>
      </c>
      <c r="J77" s="65"/>
      <c r="K77" s="65" t="s">
        <v>279</v>
      </c>
      <c r="L77" s="65"/>
      <c r="M77" s="65"/>
      <c r="N77" s="65"/>
      <c r="O77" s="65"/>
      <c r="P77" s="65"/>
      <c r="Q77" s="65"/>
      <c r="R77" s="100"/>
      <c r="S77" s="138"/>
      <c r="T77" s="145"/>
      <c r="U77" s="151"/>
      <c r="V77" s="120"/>
      <c r="W77" s="115"/>
      <c r="X77" s="109"/>
      <c r="Y77" s="127"/>
      <c r="Z77" s="65"/>
      <c r="AA77" s="65"/>
      <c r="AB77" s="65"/>
      <c r="AC77" s="65"/>
      <c r="AD77" s="65"/>
      <c r="AE77" s="65"/>
      <c r="AF77" s="65"/>
    </row>
    <row r="78" spans="1:32" ht="19.5" x14ac:dyDescent="0.4">
      <c r="A78" s="57" t="s">
        <v>513</v>
      </c>
      <c r="B78" s="64" t="s">
        <v>327</v>
      </c>
      <c r="C78" s="65" t="s">
        <v>206</v>
      </c>
      <c r="D78" s="65" t="s">
        <v>610</v>
      </c>
      <c r="E78" s="65" t="s">
        <v>611</v>
      </c>
      <c r="F78" s="65" t="s">
        <v>106</v>
      </c>
      <c r="G78" s="65" t="s">
        <v>107</v>
      </c>
      <c r="H78" s="65"/>
      <c r="I78" s="65" t="s">
        <v>6</v>
      </c>
      <c r="J78" s="65"/>
      <c r="K78" s="65" t="s">
        <v>279</v>
      </c>
      <c r="L78" s="65"/>
      <c r="M78" s="65"/>
      <c r="N78" s="65"/>
      <c r="O78" s="65"/>
      <c r="P78" s="65"/>
      <c r="Q78" s="65"/>
      <c r="R78" s="134">
        <v>1000</v>
      </c>
      <c r="S78" s="138"/>
      <c r="T78" s="146">
        <v>5000</v>
      </c>
      <c r="U78" s="152">
        <v>5000</v>
      </c>
      <c r="V78" s="120"/>
      <c r="W78" s="115"/>
      <c r="X78" s="109"/>
      <c r="Y78" s="127"/>
      <c r="Z78" s="65"/>
      <c r="AA78" s="65"/>
      <c r="AB78" s="65"/>
      <c r="AC78" s="65"/>
      <c r="AD78" s="65"/>
      <c r="AE78" s="65"/>
      <c r="AF78" s="65"/>
    </row>
    <row r="79" spans="1:32" ht="19.5" x14ac:dyDescent="0.4">
      <c r="A79" s="57" t="s">
        <v>199</v>
      </c>
      <c r="B79" s="64" t="s">
        <v>328</v>
      </c>
      <c r="C79" s="65" t="s">
        <v>212</v>
      </c>
      <c r="D79" s="65" t="s">
        <v>570</v>
      </c>
      <c r="E79" s="65" t="s">
        <v>571</v>
      </c>
      <c r="F79" s="65" t="s">
        <v>106</v>
      </c>
      <c r="G79" s="65" t="s">
        <v>107</v>
      </c>
      <c r="H79" s="65"/>
      <c r="I79" s="65" t="s">
        <v>6</v>
      </c>
      <c r="J79" s="65"/>
      <c r="K79" s="65" t="s">
        <v>279</v>
      </c>
      <c r="L79" s="65"/>
      <c r="M79" s="65"/>
      <c r="N79" s="65"/>
      <c r="O79" s="65"/>
      <c r="P79" s="65"/>
      <c r="Q79" s="65"/>
      <c r="R79" s="100"/>
      <c r="S79" s="138"/>
      <c r="T79" s="145"/>
      <c r="U79" s="151"/>
      <c r="V79" s="120"/>
      <c r="W79" s="115"/>
      <c r="X79" s="109"/>
      <c r="Y79" s="127"/>
      <c r="Z79" s="65"/>
      <c r="AA79" s="65"/>
      <c r="AB79" s="65"/>
      <c r="AC79" s="65"/>
      <c r="AD79" s="65"/>
      <c r="AE79" s="65"/>
      <c r="AF79" s="65"/>
    </row>
    <row r="80" spans="1:32" ht="19.5" x14ac:dyDescent="0.4">
      <c r="A80" s="57" t="s">
        <v>207</v>
      </c>
      <c r="B80" s="64" t="s">
        <v>329</v>
      </c>
      <c r="C80" s="65" t="s">
        <v>208</v>
      </c>
      <c r="D80" s="65" t="s">
        <v>542</v>
      </c>
      <c r="E80" s="65" t="s">
        <v>545</v>
      </c>
      <c r="F80" s="65" t="s">
        <v>106</v>
      </c>
      <c r="G80" s="65" t="s">
        <v>107</v>
      </c>
      <c r="H80" s="65"/>
      <c r="I80" s="65" t="s">
        <v>6</v>
      </c>
      <c r="J80" s="65"/>
      <c r="K80" s="65" t="s">
        <v>279</v>
      </c>
      <c r="L80" s="65"/>
      <c r="M80" s="65"/>
      <c r="N80" s="65"/>
      <c r="O80" s="65"/>
      <c r="P80" s="65"/>
      <c r="Q80" s="65"/>
      <c r="R80" s="100"/>
      <c r="S80" s="138"/>
      <c r="T80" s="145"/>
      <c r="U80" s="151"/>
      <c r="V80" s="120"/>
      <c r="W80" s="115"/>
      <c r="X80" s="109"/>
      <c r="Y80" s="127"/>
      <c r="Z80" s="65"/>
      <c r="AA80" s="65"/>
      <c r="AB80" s="65"/>
      <c r="AC80" s="65"/>
      <c r="AD80" s="65"/>
      <c r="AE80" s="65"/>
      <c r="AF80" s="65"/>
    </row>
    <row r="81" spans="1:32" ht="19.5" x14ac:dyDescent="0.4">
      <c r="A81" s="57" t="s">
        <v>213</v>
      </c>
      <c r="B81" s="64" t="s">
        <v>330</v>
      </c>
      <c r="C81" s="65" t="s">
        <v>194</v>
      </c>
      <c r="D81" s="65"/>
      <c r="E81" s="65"/>
      <c r="F81" s="65" t="s">
        <v>106</v>
      </c>
      <c r="G81" s="65" t="s">
        <v>107</v>
      </c>
      <c r="H81" s="65"/>
      <c r="I81" s="65" t="s">
        <v>6</v>
      </c>
      <c r="J81" s="65"/>
      <c r="K81" s="65" t="s">
        <v>279</v>
      </c>
      <c r="L81" s="65"/>
      <c r="M81" s="65"/>
      <c r="N81" s="65"/>
      <c r="O81" s="65"/>
      <c r="P81" s="65"/>
      <c r="Q81" s="65"/>
      <c r="R81" s="100"/>
      <c r="S81" s="138"/>
      <c r="T81" s="145"/>
      <c r="U81" s="151"/>
      <c r="V81" s="120"/>
      <c r="W81" s="115"/>
      <c r="X81" s="109"/>
      <c r="Y81" s="127"/>
      <c r="Z81" s="65"/>
      <c r="AA81" s="65"/>
      <c r="AB81" s="65"/>
      <c r="AC81" s="65"/>
      <c r="AD81" s="65"/>
      <c r="AE81" s="65"/>
      <c r="AF81" s="65"/>
    </row>
    <row r="82" spans="1:32" ht="19.5" x14ac:dyDescent="0.4">
      <c r="A82" s="57" t="s">
        <v>209</v>
      </c>
      <c r="B82" s="64" t="s">
        <v>331</v>
      </c>
      <c r="C82" s="65" t="s">
        <v>180</v>
      </c>
      <c r="D82" s="65" t="s">
        <v>527</v>
      </c>
      <c r="E82" s="65"/>
      <c r="F82" s="65" t="s">
        <v>106</v>
      </c>
      <c r="G82" s="65" t="s">
        <v>163</v>
      </c>
      <c r="H82" s="66">
        <v>46177</v>
      </c>
      <c r="I82" s="65" t="s">
        <v>6</v>
      </c>
      <c r="J82" s="65"/>
      <c r="K82" s="65" t="s">
        <v>279</v>
      </c>
      <c r="L82" s="65"/>
      <c r="M82" s="65"/>
      <c r="N82" s="65"/>
      <c r="O82" s="65"/>
      <c r="P82" s="65"/>
      <c r="Q82" s="65"/>
      <c r="R82" s="134">
        <v>8500</v>
      </c>
      <c r="S82" s="138"/>
      <c r="T82" s="145"/>
      <c r="U82" s="151"/>
      <c r="V82" s="120"/>
      <c r="W82" s="115"/>
      <c r="X82" s="109"/>
      <c r="Y82" s="127"/>
      <c r="Z82" s="65"/>
      <c r="AA82" s="65"/>
      <c r="AB82" s="65"/>
      <c r="AC82" s="65"/>
      <c r="AD82" s="65"/>
      <c r="AE82" s="65"/>
      <c r="AF82" s="65"/>
    </row>
    <row r="83" spans="1:32" ht="19.5" x14ac:dyDescent="0.4">
      <c r="A83" s="57" t="s">
        <v>195</v>
      </c>
      <c r="B83" s="64" t="s">
        <v>332</v>
      </c>
      <c r="C83" s="65" t="s">
        <v>182</v>
      </c>
      <c r="D83" s="65" t="s">
        <v>535</v>
      </c>
      <c r="E83" s="65" t="s">
        <v>546</v>
      </c>
      <c r="F83" s="65" t="s">
        <v>106</v>
      </c>
      <c r="G83" s="65" t="s">
        <v>107</v>
      </c>
      <c r="H83" s="65" t="s">
        <v>499</v>
      </c>
      <c r="I83" s="65" t="s">
        <v>6</v>
      </c>
      <c r="J83" s="65"/>
      <c r="K83" s="65" t="s">
        <v>279</v>
      </c>
      <c r="L83" s="65"/>
      <c r="M83" s="65"/>
      <c r="N83" s="65"/>
      <c r="O83" s="65"/>
      <c r="P83" s="65"/>
      <c r="Q83" s="65"/>
      <c r="R83" s="100"/>
      <c r="S83" s="138"/>
      <c r="T83" s="145"/>
      <c r="U83" s="151"/>
      <c r="V83" s="120"/>
      <c r="W83" s="115"/>
      <c r="X83" s="109"/>
      <c r="Y83" s="127"/>
      <c r="Z83" s="65"/>
      <c r="AA83" s="65"/>
      <c r="AB83" s="65"/>
      <c r="AC83" s="65"/>
      <c r="AD83" s="65"/>
      <c r="AE83" s="65"/>
      <c r="AF83" s="65"/>
    </row>
    <row r="84" spans="1:32" ht="19.5" x14ac:dyDescent="0.4">
      <c r="A84" s="57" t="s">
        <v>181</v>
      </c>
      <c r="B84" s="64" t="s">
        <v>333</v>
      </c>
      <c r="C84" s="65" t="s">
        <v>204</v>
      </c>
      <c r="D84" s="65" t="s">
        <v>551</v>
      </c>
      <c r="E84" s="65" t="s">
        <v>552</v>
      </c>
      <c r="F84" s="65" t="s">
        <v>106</v>
      </c>
      <c r="G84" s="65" t="s">
        <v>107</v>
      </c>
      <c r="H84" s="65" t="s">
        <v>500</v>
      </c>
      <c r="I84" s="65" t="s">
        <v>6</v>
      </c>
      <c r="J84" s="65"/>
      <c r="K84" s="65" t="s">
        <v>279</v>
      </c>
      <c r="L84" s="65"/>
      <c r="M84" s="65"/>
      <c r="N84" s="65"/>
      <c r="O84" s="65"/>
      <c r="P84" s="65"/>
      <c r="Q84" s="65"/>
      <c r="R84" s="100"/>
      <c r="S84" s="138"/>
      <c r="T84" s="145"/>
      <c r="U84" s="151"/>
      <c r="V84" s="120"/>
      <c r="W84" s="115"/>
      <c r="X84" s="109"/>
      <c r="Y84" s="127"/>
      <c r="Z84" s="65"/>
      <c r="AA84" s="65"/>
      <c r="AB84" s="65"/>
      <c r="AC84" s="65"/>
      <c r="AD84" s="65"/>
      <c r="AE84" s="65"/>
      <c r="AF84" s="65"/>
    </row>
    <row r="85" spans="1:32" ht="19.5" x14ac:dyDescent="0.4">
      <c r="A85" s="57" t="s">
        <v>183</v>
      </c>
      <c r="B85" s="64" t="s">
        <v>334</v>
      </c>
      <c r="C85" s="65" t="s">
        <v>538</v>
      </c>
      <c r="D85" s="65" t="s">
        <v>539</v>
      </c>
      <c r="E85" s="65" t="s">
        <v>548</v>
      </c>
      <c r="F85" s="65" t="s">
        <v>106</v>
      </c>
      <c r="G85" s="65" t="s">
        <v>107</v>
      </c>
      <c r="H85" s="65" t="s">
        <v>501</v>
      </c>
      <c r="I85" s="65" t="s">
        <v>6</v>
      </c>
      <c r="J85" s="65"/>
      <c r="K85" s="65" t="s">
        <v>279</v>
      </c>
      <c r="L85" s="65"/>
      <c r="M85" s="65"/>
      <c r="N85" s="65"/>
      <c r="O85" s="65"/>
      <c r="P85" s="65"/>
      <c r="Q85" s="65"/>
      <c r="R85" s="100"/>
      <c r="S85" s="138"/>
      <c r="T85" s="145"/>
      <c r="U85" s="151"/>
      <c r="V85" s="120"/>
      <c r="W85" s="115"/>
      <c r="X85" s="109"/>
      <c r="Y85" s="127"/>
      <c r="Z85" s="65"/>
      <c r="AA85" s="65"/>
      <c r="AB85" s="65"/>
      <c r="AC85" s="65"/>
      <c r="AD85" s="65"/>
      <c r="AE85" s="65"/>
      <c r="AF85" s="65"/>
    </row>
    <row r="86" spans="1:32" ht="19.5" x14ac:dyDescent="0.4">
      <c r="A86" s="57" t="s">
        <v>205</v>
      </c>
      <c r="B86" s="64" t="s">
        <v>335</v>
      </c>
      <c r="C86" s="65" t="s">
        <v>171</v>
      </c>
      <c r="D86" s="65" t="s">
        <v>557</v>
      </c>
      <c r="E86" s="65" t="s">
        <v>546</v>
      </c>
      <c r="F86" s="65" t="s">
        <v>106</v>
      </c>
      <c r="G86" s="65" t="s">
        <v>107</v>
      </c>
      <c r="H86" s="65"/>
      <c r="I86" s="65" t="s">
        <v>6</v>
      </c>
      <c r="J86" s="65"/>
      <c r="K86" s="65" t="s">
        <v>279</v>
      </c>
      <c r="L86" s="65"/>
      <c r="M86" s="65"/>
      <c r="N86" s="65"/>
      <c r="O86" s="65"/>
      <c r="P86" s="65"/>
      <c r="Q86" s="65"/>
      <c r="R86" s="100"/>
      <c r="S86" s="138"/>
      <c r="T86" s="145"/>
      <c r="U86" s="151"/>
      <c r="V86" s="120"/>
      <c r="W86" s="115"/>
      <c r="X86" s="109"/>
      <c r="Y86" s="127"/>
      <c r="Z86" s="65"/>
      <c r="AA86" s="65"/>
      <c r="AB86" s="65"/>
      <c r="AC86" s="65"/>
      <c r="AD86" s="65"/>
      <c r="AE86" s="65"/>
      <c r="AF86" s="65"/>
    </row>
    <row r="87" spans="1:32" ht="19.5" x14ac:dyDescent="0.4">
      <c r="A87" s="57" t="s">
        <v>191</v>
      </c>
      <c r="B87" s="64" t="s">
        <v>336</v>
      </c>
      <c r="C87" s="65" t="s">
        <v>174</v>
      </c>
      <c r="D87" s="65" t="s">
        <v>555</v>
      </c>
      <c r="E87" s="65" t="s">
        <v>556</v>
      </c>
      <c r="F87" s="65" t="s">
        <v>106</v>
      </c>
      <c r="G87" s="65" t="s">
        <v>107</v>
      </c>
      <c r="H87" s="65"/>
      <c r="I87" s="65" t="s">
        <v>6</v>
      </c>
      <c r="J87" s="65"/>
      <c r="K87" s="65" t="s">
        <v>279</v>
      </c>
      <c r="L87" s="65"/>
      <c r="M87" s="65"/>
      <c r="N87" s="65"/>
      <c r="O87" s="65"/>
      <c r="P87" s="65"/>
      <c r="Q87" s="65"/>
      <c r="R87" s="100"/>
      <c r="S87" s="138"/>
      <c r="T87" s="145"/>
      <c r="U87" s="151"/>
      <c r="V87" s="120"/>
      <c r="W87" s="115"/>
      <c r="X87" s="109"/>
      <c r="Y87" s="127"/>
      <c r="Z87" s="65"/>
      <c r="AA87" s="65"/>
      <c r="AB87" s="65"/>
      <c r="AC87" s="65"/>
      <c r="AD87" s="65"/>
      <c r="AE87" s="65"/>
      <c r="AF87" s="65"/>
    </row>
    <row r="88" spans="1:32" ht="19.5" x14ac:dyDescent="0.4">
      <c r="A88" s="57" t="s">
        <v>172</v>
      </c>
      <c r="B88" s="64" t="s">
        <v>337</v>
      </c>
      <c r="C88" s="65" t="s">
        <v>234</v>
      </c>
      <c r="D88" s="65" t="s">
        <v>553</v>
      </c>
      <c r="E88" s="65" t="s">
        <v>554</v>
      </c>
      <c r="F88" s="65" t="s">
        <v>106</v>
      </c>
      <c r="G88" s="65" t="s">
        <v>107</v>
      </c>
      <c r="H88" s="65"/>
      <c r="I88" s="65" t="s">
        <v>6</v>
      </c>
      <c r="J88" s="65"/>
      <c r="K88" s="65" t="s">
        <v>279</v>
      </c>
      <c r="L88" s="65"/>
      <c r="M88" s="65"/>
      <c r="N88" s="65"/>
      <c r="O88" s="65"/>
      <c r="P88" s="65"/>
      <c r="Q88" s="65"/>
      <c r="R88" s="100"/>
      <c r="S88" s="138"/>
      <c r="T88" s="145"/>
      <c r="U88" s="151"/>
      <c r="V88" s="120"/>
      <c r="W88" s="115"/>
      <c r="X88" s="109"/>
      <c r="Y88" s="127"/>
      <c r="Z88" s="65"/>
      <c r="AA88" s="65"/>
      <c r="AB88" s="65"/>
      <c r="AC88" s="65"/>
      <c r="AD88" s="65"/>
      <c r="AE88" s="65"/>
      <c r="AF88" s="65"/>
    </row>
    <row r="89" spans="1:32" ht="19.5" x14ac:dyDescent="0.4">
      <c r="A89" s="57" t="s">
        <v>175</v>
      </c>
      <c r="B89" s="64" t="s">
        <v>338</v>
      </c>
      <c r="C89" s="65" t="s">
        <v>251</v>
      </c>
      <c r="D89" s="65"/>
      <c r="E89" s="65"/>
      <c r="F89" s="65" t="s">
        <v>387</v>
      </c>
      <c r="G89" s="65" t="s">
        <v>468</v>
      </c>
      <c r="H89" s="66"/>
      <c r="I89" s="65" t="s">
        <v>6</v>
      </c>
      <c r="J89" s="67"/>
      <c r="K89" s="65" t="s">
        <v>279</v>
      </c>
      <c r="L89" s="65"/>
      <c r="M89" s="65"/>
      <c r="N89" s="65"/>
      <c r="O89" s="65"/>
      <c r="P89" s="65"/>
      <c r="Q89" s="65"/>
      <c r="R89" s="100"/>
      <c r="S89" s="138"/>
      <c r="T89" s="145"/>
      <c r="U89" s="151"/>
      <c r="V89" s="120"/>
      <c r="W89" s="115"/>
      <c r="X89" s="109"/>
      <c r="Y89" s="127"/>
      <c r="Z89" s="65"/>
      <c r="AA89" s="65"/>
      <c r="AB89" s="65"/>
      <c r="AC89" s="65"/>
      <c r="AD89" s="65"/>
      <c r="AE89" s="65"/>
      <c r="AF89" s="65"/>
    </row>
    <row r="90" spans="1:32" ht="19.5" x14ac:dyDescent="0.4">
      <c r="A90" s="57" t="s">
        <v>175</v>
      </c>
      <c r="B90" s="64" t="s">
        <v>339</v>
      </c>
      <c r="C90" s="65" t="s">
        <v>252</v>
      </c>
      <c r="D90" s="65" t="s">
        <v>564</v>
      </c>
      <c r="E90" s="65" t="s">
        <v>532</v>
      </c>
      <c r="F90" s="65" t="s">
        <v>106</v>
      </c>
      <c r="G90" s="65" t="s">
        <v>160</v>
      </c>
      <c r="H90" s="66">
        <v>45782</v>
      </c>
      <c r="I90" s="65" t="s">
        <v>156</v>
      </c>
      <c r="J90" s="67"/>
      <c r="K90" s="65" t="s">
        <v>279</v>
      </c>
      <c r="L90" s="65"/>
      <c r="M90" s="65"/>
      <c r="N90" s="65"/>
      <c r="O90" s="65"/>
      <c r="P90" s="65"/>
      <c r="Q90" s="65"/>
      <c r="R90" s="100"/>
      <c r="S90" s="138"/>
      <c r="T90" s="146">
        <v>22000</v>
      </c>
      <c r="U90" s="151"/>
      <c r="V90" s="120"/>
      <c r="W90" s="115"/>
      <c r="X90" s="109"/>
      <c r="Y90" s="127"/>
      <c r="Z90" s="65"/>
      <c r="AA90" s="65"/>
      <c r="AB90" s="65"/>
      <c r="AC90" s="65"/>
      <c r="AD90" s="65"/>
      <c r="AE90" s="65"/>
      <c r="AF90" s="65"/>
    </row>
    <row r="91" spans="1:32" ht="19.5" x14ac:dyDescent="0.4">
      <c r="B91" s="64" t="s">
        <v>340</v>
      </c>
      <c r="C91" s="65" t="s">
        <v>230</v>
      </c>
      <c r="D91" s="65"/>
      <c r="E91" s="65"/>
      <c r="F91" s="65" t="s">
        <v>106</v>
      </c>
      <c r="G91" s="65" t="s">
        <v>220</v>
      </c>
      <c r="H91" s="66"/>
      <c r="I91" s="65" t="s">
        <v>6</v>
      </c>
      <c r="J91" s="67"/>
      <c r="K91" s="65" t="s">
        <v>280</v>
      </c>
      <c r="L91" s="65"/>
      <c r="M91" s="65"/>
      <c r="N91" s="65"/>
      <c r="O91" s="65"/>
      <c r="P91" s="65"/>
      <c r="Q91" s="65"/>
      <c r="R91" s="100"/>
      <c r="S91" s="138"/>
      <c r="T91" s="145"/>
      <c r="U91" s="151"/>
      <c r="V91" s="120"/>
      <c r="W91" s="115"/>
      <c r="X91" s="109"/>
      <c r="Y91" s="127"/>
      <c r="Z91" s="65"/>
      <c r="AA91" s="65"/>
      <c r="AB91" s="65"/>
      <c r="AC91" s="65"/>
      <c r="AD91" s="65"/>
      <c r="AE91" s="65"/>
      <c r="AF91" s="65"/>
    </row>
    <row r="92" spans="1:32" ht="19.5" x14ac:dyDescent="0.4">
      <c r="B92" s="64" t="s">
        <v>341</v>
      </c>
      <c r="C92" s="65" t="s">
        <v>259</v>
      </c>
      <c r="D92" s="65" t="s">
        <v>728</v>
      </c>
      <c r="E92" s="65"/>
      <c r="F92" s="65" t="s">
        <v>106</v>
      </c>
      <c r="G92" s="65"/>
      <c r="H92" s="66">
        <v>45782</v>
      </c>
      <c r="I92" s="65" t="s">
        <v>6</v>
      </c>
      <c r="J92" s="67"/>
      <c r="K92" s="65" t="s">
        <v>279</v>
      </c>
      <c r="L92" s="65"/>
      <c r="M92" s="65"/>
      <c r="N92" s="65"/>
      <c r="O92" s="65"/>
      <c r="P92" s="65"/>
      <c r="Q92" s="65"/>
      <c r="R92" s="100"/>
      <c r="S92" s="138"/>
      <c r="T92" s="145"/>
      <c r="U92" s="151"/>
      <c r="V92" s="120"/>
      <c r="W92" s="115"/>
      <c r="X92" s="109"/>
      <c r="Y92" s="127"/>
      <c r="Z92" s="65"/>
      <c r="AA92" s="65"/>
      <c r="AB92" s="65"/>
      <c r="AC92" s="65"/>
      <c r="AD92" s="65"/>
      <c r="AE92" s="65"/>
      <c r="AF92" s="65"/>
    </row>
    <row r="93" spans="1:32" ht="19.5" x14ac:dyDescent="0.4">
      <c r="B93" s="64" t="s">
        <v>342</v>
      </c>
      <c r="C93" s="65" t="s">
        <v>250</v>
      </c>
      <c r="D93" s="65" t="s">
        <v>568</v>
      </c>
      <c r="E93" s="65" t="s">
        <v>569</v>
      </c>
      <c r="F93" s="65" t="s">
        <v>106</v>
      </c>
      <c r="G93" s="65" t="s">
        <v>163</v>
      </c>
      <c r="H93" s="65"/>
      <c r="I93" s="65" t="s">
        <v>6</v>
      </c>
      <c r="J93" s="65"/>
      <c r="K93" s="65" t="s">
        <v>279</v>
      </c>
      <c r="L93" s="65"/>
      <c r="M93" s="65"/>
      <c r="N93" s="65"/>
      <c r="O93" s="65"/>
      <c r="P93" s="65"/>
      <c r="Q93" s="65"/>
      <c r="R93" s="100"/>
      <c r="S93" s="138"/>
      <c r="T93" s="146">
        <v>1000</v>
      </c>
      <c r="U93" s="151"/>
      <c r="V93" s="120"/>
      <c r="W93" s="115"/>
      <c r="X93" s="109"/>
      <c r="Y93" s="127"/>
      <c r="Z93" s="65"/>
      <c r="AA93" s="65"/>
      <c r="AB93" s="65"/>
      <c r="AC93" s="65"/>
      <c r="AD93" s="65"/>
      <c r="AE93" s="65"/>
      <c r="AF93" s="65"/>
    </row>
    <row r="94" spans="1:32" ht="19.5" x14ac:dyDescent="0.4">
      <c r="B94" s="64" t="s">
        <v>343</v>
      </c>
      <c r="C94" s="65" t="s">
        <v>289</v>
      </c>
      <c r="D94" s="65"/>
      <c r="E94" s="65"/>
      <c r="F94" s="65" t="s">
        <v>106</v>
      </c>
      <c r="G94" s="65" t="s">
        <v>163</v>
      </c>
      <c r="H94" s="65"/>
      <c r="I94" s="65" t="s">
        <v>6</v>
      </c>
      <c r="J94" s="65"/>
      <c r="K94" s="65" t="s">
        <v>290</v>
      </c>
      <c r="L94" s="65"/>
      <c r="M94" s="65"/>
      <c r="N94" s="65"/>
      <c r="O94" s="65"/>
      <c r="P94" s="65"/>
      <c r="Q94" s="65"/>
      <c r="R94" s="100"/>
      <c r="S94" s="138"/>
      <c r="T94" s="145"/>
      <c r="U94" s="151"/>
      <c r="V94" s="120"/>
      <c r="W94" s="115"/>
      <c r="X94" s="109"/>
      <c r="Y94" s="127"/>
      <c r="Z94" s="65"/>
      <c r="AA94" s="65"/>
      <c r="AB94" s="65"/>
      <c r="AC94" s="65"/>
      <c r="AD94" s="65"/>
      <c r="AE94" s="65"/>
      <c r="AF94" s="65"/>
    </row>
    <row r="95" spans="1:32" ht="19.5" x14ac:dyDescent="0.4">
      <c r="B95" s="64" t="s">
        <v>344</v>
      </c>
      <c r="C95" s="65" t="s">
        <v>253</v>
      </c>
      <c r="D95" s="65"/>
      <c r="E95" s="65"/>
      <c r="F95" s="65" t="s">
        <v>387</v>
      </c>
      <c r="G95" s="68" t="s">
        <v>468</v>
      </c>
      <c r="H95" s="69"/>
      <c r="I95" s="68" t="s">
        <v>6</v>
      </c>
      <c r="J95" s="67"/>
      <c r="K95" s="65" t="s">
        <v>279</v>
      </c>
      <c r="L95" s="65"/>
      <c r="M95" s="65"/>
      <c r="N95" s="65"/>
      <c r="O95" s="65"/>
      <c r="P95" s="65"/>
      <c r="Q95" s="65"/>
      <c r="R95" s="100"/>
      <c r="S95" s="138"/>
      <c r="T95" s="145"/>
      <c r="U95" s="151"/>
      <c r="V95" s="120"/>
      <c r="W95" s="115"/>
      <c r="X95" s="109"/>
      <c r="Y95" s="127"/>
      <c r="Z95" s="65"/>
      <c r="AA95" s="65"/>
      <c r="AB95" s="65"/>
      <c r="AC95" s="65"/>
      <c r="AD95" s="65"/>
      <c r="AE95" s="65"/>
      <c r="AF95" s="65"/>
    </row>
    <row r="96" spans="1:32" ht="19.5" x14ac:dyDescent="0.4">
      <c r="B96" s="64" t="s">
        <v>345</v>
      </c>
      <c r="C96" s="65" t="s">
        <v>288</v>
      </c>
      <c r="D96" s="65" t="s">
        <v>558</v>
      </c>
      <c r="E96" s="65" t="s">
        <v>532</v>
      </c>
      <c r="F96" s="65" t="s">
        <v>106</v>
      </c>
      <c r="G96" s="65" t="s">
        <v>160</v>
      </c>
      <c r="H96" s="65"/>
      <c r="I96" s="65" t="s">
        <v>6</v>
      </c>
      <c r="J96" s="65"/>
      <c r="K96" s="65" t="s">
        <v>279</v>
      </c>
      <c r="L96" s="65"/>
      <c r="M96" s="65"/>
      <c r="N96" s="65"/>
      <c r="O96" s="65"/>
      <c r="P96" s="65"/>
      <c r="Q96" s="65"/>
      <c r="R96" s="100"/>
      <c r="S96" s="138"/>
      <c r="T96" s="145"/>
      <c r="U96" s="152">
        <v>12000</v>
      </c>
      <c r="V96" s="120"/>
      <c r="W96" s="115"/>
      <c r="X96" s="110">
        <v>19000</v>
      </c>
      <c r="Y96" s="127"/>
      <c r="Z96" s="65"/>
      <c r="AA96" s="65"/>
      <c r="AB96" s="65"/>
      <c r="AC96" s="65"/>
      <c r="AD96" s="65"/>
      <c r="AE96" s="65"/>
      <c r="AF96" s="65"/>
    </row>
    <row r="97" spans="2:32" ht="19.5" x14ac:dyDescent="0.4">
      <c r="B97" s="64" t="s">
        <v>346</v>
      </c>
      <c r="C97" s="65" t="s">
        <v>256</v>
      </c>
      <c r="D97" s="65" t="s">
        <v>559</v>
      </c>
      <c r="E97" s="65" t="s">
        <v>532</v>
      </c>
      <c r="F97" s="65" t="s">
        <v>106</v>
      </c>
      <c r="G97" s="65" t="s">
        <v>163</v>
      </c>
      <c r="H97" s="65"/>
      <c r="I97" s="65" t="s">
        <v>6</v>
      </c>
      <c r="J97" s="65"/>
      <c r="K97" s="65" t="s">
        <v>279</v>
      </c>
      <c r="L97" s="65"/>
      <c r="M97" s="65"/>
      <c r="N97" s="65"/>
      <c r="O97" s="65"/>
      <c r="P97" s="65"/>
      <c r="Q97" s="65"/>
      <c r="R97" s="100"/>
      <c r="S97" s="138"/>
      <c r="T97" s="145"/>
      <c r="U97" s="152">
        <v>7000</v>
      </c>
      <c r="V97" s="120"/>
      <c r="W97" s="115"/>
      <c r="X97" s="109"/>
      <c r="Y97" s="127"/>
      <c r="Z97" s="65"/>
      <c r="AA97" s="65"/>
      <c r="AB97" s="65"/>
      <c r="AC97" s="65"/>
      <c r="AD97" s="65"/>
      <c r="AE97" s="65"/>
      <c r="AF97" s="65"/>
    </row>
    <row r="98" spans="2:32" ht="19.5" x14ac:dyDescent="0.4">
      <c r="B98" s="64" t="s">
        <v>347</v>
      </c>
      <c r="C98" s="65" t="s">
        <v>258</v>
      </c>
      <c r="D98" s="65" t="s">
        <v>528</v>
      </c>
      <c r="E98" s="65"/>
      <c r="F98" s="65" t="s">
        <v>106</v>
      </c>
      <c r="G98" s="65" t="s">
        <v>163</v>
      </c>
      <c r="H98" s="65" t="s">
        <v>509</v>
      </c>
      <c r="I98" s="65" t="s">
        <v>6</v>
      </c>
      <c r="J98" s="65"/>
      <c r="K98" s="65" t="s">
        <v>279</v>
      </c>
      <c r="L98" s="65"/>
      <c r="M98" s="65"/>
      <c r="N98" s="65"/>
      <c r="O98" s="65"/>
      <c r="P98" s="65"/>
      <c r="Q98" s="65"/>
      <c r="R98" s="100"/>
      <c r="S98" s="138"/>
      <c r="T98" s="145"/>
      <c r="U98" s="152">
        <v>1000</v>
      </c>
      <c r="V98" s="120"/>
      <c r="W98" s="116">
        <v>3500</v>
      </c>
      <c r="X98" s="109"/>
      <c r="Y98" s="127"/>
      <c r="Z98" s="65"/>
      <c r="AA98" s="65"/>
      <c r="AB98" s="65"/>
      <c r="AC98" s="65"/>
      <c r="AD98" s="65"/>
      <c r="AE98" s="65"/>
      <c r="AF98" s="65"/>
    </row>
    <row r="99" spans="2:32" ht="19.5" x14ac:dyDescent="0.4">
      <c r="B99" s="64" t="s">
        <v>348</v>
      </c>
      <c r="C99" s="65" t="s">
        <v>277</v>
      </c>
      <c r="D99" s="65" t="s">
        <v>541</v>
      </c>
      <c r="E99" s="65" t="s">
        <v>550</v>
      </c>
      <c r="F99" s="65" t="s">
        <v>106</v>
      </c>
      <c r="G99" s="65" t="s">
        <v>107</v>
      </c>
      <c r="H99" s="65"/>
      <c r="I99" s="65" t="s">
        <v>6</v>
      </c>
      <c r="J99" s="65"/>
      <c r="K99" s="65" t="s">
        <v>155</v>
      </c>
      <c r="L99" s="65"/>
      <c r="M99" s="65"/>
      <c r="N99" s="65"/>
      <c r="O99" s="65"/>
      <c r="P99" s="65"/>
      <c r="Q99" s="65"/>
      <c r="R99" s="100"/>
      <c r="S99" s="138"/>
      <c r="T99" s="145"/>
      <c r="U99" s="152">
        <v>5000</v>
      </c>
      <c r="V99" s="120"/>
      <c r="W99" s="115"/>
      <c r="X99" s="109"/>
      <c r="Y99" s="127"/>
      <c r="Z99" s="65"/>
      <c r="AA99" s="65"/>
      <c r="AB99" s="65"/>
      <c r="AC99" s="65"/>
      <c r="AD99" s="65"/>
      <c r="AE99" s="65"/>
      <c r="AF99" s="65"/>
    </row>
    <row r="100" spans="2:32" ht="19.5" x14ac:dyDescent="0.4">
      <c r="B100" s="64" t="s">
        <v>349</v>
      </c>
      <c r="C100" s="65" t="s">
        <v>260</v>
      </c>
      <c r="D100" s="65" t="s">
        <v>540</v>
      </c>
      <c r="E100" s="65" t="s">
        <v>549</v>
      </c>
      <c r="F100" s="65" t="s">
        <v>106</v>
      </c>
      <c r="G100" s="65" t="s">
        <v>107</v>
      </c>
      <c r="H100" s="65"/>
      <c r="I100" s="65" t="s">
        <v>6</v>
      </c>
      <c r="J100" s="65"/>
      <c r="K100" s="65" t="s">
        <v>279</v>
      </c>
      <c r="L100" s="65"/>
      <c r="M100" s="65"/>
      <c r="N100" s="65"/>
      <c r="O100" s="65"/>
      <c r="P100" s="65"/>
      <c r="Q100" s="65"/>
      <c r="R100" s="100"/>
      <c r="S100" s="138"/>
      <c r="T100" s="145"/>
      <c r="U100" s="151"/>
      <c r="V100" s="120"/>
      <c r="W100" s="115"/>
      <c r="X100" s="109"/>
      <c r="Y100" s="127"/>
      <c r="Z100" s="65"/>
      <c r="AA100" s="65"/>
      <c r="AB100" s="65"/>
      <c r="AC100" s="65"/>
      <c r="AD100" s="65"/>
      <c r="AE100" s="65"/>
      <c r="AF100" s="65"/>
    </row>
    <row r="101" spans="2:32" ht="19.5" x14ac:dyDescent="0.4">
      <c r="B101" s="64" t="s">
        <v>350</v>
      </c>
      <c r="C101" s="65" t="s">
        <v>235</v>
      </c>
      <c r="D101" s="65"/>
      <c r="E101" s="65" t="s">
        <v>532</v>
      </c>
      <c r="F101" s="65" t="s">
        <v>106</v>
      </c>
      <c r="G101" s="65" t="s">
        <v>107</v>
      </c>
      <c r="H101" s="65"/>
      <c r="I101" s="65" t="s">
        <v>6</v>
      </c>
      <c r="J101" s="65"/>
      <c r="K101" s="65" t="s">
        <v>279</v>
      </c>
      <c r="L101" s="65"/>
      <c r="M101" s="65"/>
      <c r="N101" s="65"/>
      <c r="O101" s="65"/>
      <c r="P101" s="65"/>
      <c r="Q101" s="65"/>
      <c r="R101" s="100"/>
      <c r="S101" s="138"/>
      <c r="T101" s="146">
        <v>5000</v>
      </c>
      <c r="U101" s="151"/>
      <c r="V101" s="120"/>
      <c r="W101" s="115"/>
      <c r="X101" s="109"/>
      <c r="Y101" s="127"/>
      <c r="Z101" s="65"/>
      <c r="AA101" s="65"/>
      <c r="AB101" s="65"/>
      <c r="AC101" s="65"/>
      <c r="AD101" s="65"/>
      <c r="AE101" s="65"/>
      <c r="AF101" s="65"/>
    </row>
    <row r="102" spans="2:32" ht="19.5" x14ac:dyDescent="0.4">
      <c r="B102" s="64" t="s">
        <v>351</v>
      </c>
      <c r="C102" s="65" t="s">
        <v>261</v>
      </c>
      <c r="D102" s="65" t="s">
        <v>537</v>
      </c>
      <c r="E102" s="65" t="s">
        <v>547</v>
      </c>
      <c r="F102" s="65" t="s">
        <v>106</v>
      </c>
      <c r="G102" s="65" t="s">
        <v>107</v>
      </c>
      <c r="H102" s="65"/>
      <c r="I102" s="65" t="s">
        <v>6</v>
      </c>
      <c r="J102" s="65"/>
      <c r="K102" s="65" t="s">
        <v>279</v>
      </c>
      <c r="L102" s="65"/>
      <c r="M102" s="65"/>
      <c r="N102" s="65"/>
      <c r="O102" s="65"/>
      <c r="P102" s="65"/>
      <c r="Q102" s="65"/>
      <c r="R102" s="100"/>
      <c r="S102" s="138"/>
      <c r="T102" s="145"/>
      <c r="U102" s="151"/>
      <c r="V102" s="120"/>
      <c r="W102" s="115"/>
      <c r="X102" s="109"/>
      <c r="Y102" s="127"/>
      <c r="Z102" s="65"/>
      <c r="AA102" s="65"/>
      <c r="AB102" s="65"/>
      <c r="AC102" s="65"/>
      <c r="AD102" s="65"/>
      <c r="AE102" s="65"/>
      <c r="AF102" s="65"/>
    </row>
    <row r="103" spans="2:32" ht="19.5" x14ac:dyDescent="0.4">
      <c r="B103" s="64" t="s">
        <v>352</v>
      </c>
      <c r="C103" s="65" t="s">
        <v>276</v>
      </c>
      <c r="D103" s="65" t="s">
        <v>536</v>
      </c>
      <c r="E103" s="65" t="s">
        <v>652</v>
      </c>
      <c r="F103" s="65" t="s">
        <v>106</v>
      </c>
      <c r="G103" s="65" t="s">
        <v>107</v>
      </c>
      <c r="H103" s="65"/>
      <c r="I103" s="65" t="s">
        <v>6</v>
      </c>
      <c r="J103" s="65"/>
      <c r="K103" s="65" t="s">
        <v>279</v>
      </c>
      <c r="L103" s="65"/>
      <c r="M103" s="65"/>
      <c r="N103" s="65"/>
      <c r="O103" s="65"/>
      <c r="P103" s="65"/>
      <c r="Q103" s="65"/>
      <c r="R103" s="100"/>
      <c r="S103" s="138"/>
      <c r="T103" s="146">
        <v>1000</v>
      </c>
      <c r="U103" s="151"/>
      <c r="V103" s="120"/>
      <c r="W103" s="115"/>
      <c r="X103" s="109"/>
      <c r="Y103" s="127"/>
      <c r="Z103" s="65"/>
      <c r="AA103" s="65"/>
      <c r="AB103" s="65"/>
      <c r="AC103" s="65"/>
      <c r="AD103" s="65"/>
      <c r="AE103" s="65"/>
      <c r="AF103" s="65"/>
    </row>
    <row r="104" spans="2:32" ht="19.5" x14ac:dyDescent="0.4">
      <c r="B104" s="64" t="s">
        <v>353</v>
      </c>
      <c r="C104" s="65" t="s">
        <v>229</v>
      </c>
      <c r="D104" s="65" t="s">
        <v>729</v>
      </c>
      <c r="E104" s="65"/>
      <c r="F104" s="65" t="s">
        <v>106</v>
      </c>
      <c r="G104" s="65" t="s">
        <v>220</v>
      </c>
      <c r="H104" s="65"/>
      <c r="I104" s="65" t="s">
        <v>6</v>
      </c>
      <c r="J104" s="65"/>
      <c r="K104" s="65" t="s">
        <v>279</v>
      </c>
      <c r="L104" s="65"/>
      <c r="M104" s="65"/>
      <c r="N104" s="65"/>
      <c r="O104" s="65"/>
      <c r="P104" s="65"/>
      <c r="Q104" s="65"/>
      <c r="R104" s="100"/>
      <c r="S104" s="138"/>
      <c r="T104" s="145"/>
      <c r="U104" s="151"/>
      <c r="V104" s="120"/>
      <c r="W104" s="115"/>
      <c r="X104" s="109"/>
      <c r="Y104" s="127"/>
      <c r="Z104" s="65"/>
      <c r="AA104" s="65"/>
      <c r="AB104" s="65"/>
      <c r="AC104" s="65"/>
      <c r="AD104" s="65"/>
      <c r="AE104" s="65"/>
      <c r="AF104" s="65"/>
    </row>
    <row r="105" spans="2:32" ht="19.5" x14ac:dyDescent="0.4">
      <c r="B105" s="64" t="s">
        <v>354</v>
      </c>
      <c r="C105" s="65" t="s">
        <v>255</v>
      </c>
      <c r="D105" s="65"/>
      <c r="E105" s="65"/>
      <c r="F105" s="65" t="s">
        <v>106</v>
      </c>
      <c r="G105" s="65" t="s">
        <v>163</v>
      </c>
      <c r="H105" s="65"/>
      <c r="I105" s="65" t="s">
        <v>6</v>
      </c>
      <c r="J105" s="65"/>
      <c r="K105" s="65" t="s">
        <v>290</v>
      </c>
      <c r="L105" s="65"/>
      <c r="M105" s="65"/>
      <c r="N105" s="65"/>
      <c r="O105" s="65"/>
      <c r="P105" s="65"/>
      <c r="Q105" s="65"/>
      <c r="R105" s="100"/>
      <c r="S105" s="138"/>
      <c r="T105" s="145"/>
      <c r="U105" s="151"/>
      <c r="V105" s="120"/>
      <c r="W105" s="115"/>
      <c r="X105" s="109"/>
      <c r="Y105" s="127"/>
      <c r="Z105" s="65"/>
      <c r="AA105" s="65"/>
      <c r="AB105" s="65"/>
      <c r="AC105" s="65"/>
      <c r="AD105" s="65"/>
      <c r="AE105" s="65"/>
      <c r="AF105" s="65"/>
    </row>
    <row r="106" spans="2:32" ht="19.5" x14ac:dyDescent="0.4">
      <c r="B106" s="64" t="s">
        <v>355</v>
      </c>
      <c r="C106" s="65" t="s">
        <v>254</v>
      </c>
      <c r="D106" s="65"/>
      <c r="E106" s="65"/>
      <c r="F106" s="65" t="s">
        <v>106</v>
      </c>
      <c r="G106" s="65" t="s">
        <v>220</v>
      </c>
      <c r="H106" s="65"/>
      <c r="I106" s="65" t="s">
        <v>6</v>
      </c>
      <c r="J106" s="65"/>
      <c r="K106" s="65" t="s">
        <v>279</v>
      </c>
      <c r="L106" s="65"/>
      <c r="M106" s="65"/>
      <c r="N106" s="65"/>
      <c r="O106" s="65"/>
      <c r="P106" s="65"/>
      <c r="Q106" s="65"/>
      <c r="R106" s="100"/>
      <c r="S106" s="138"/>
      <c r="T106" s="145"/>
      <c r="U106" s="151"/>
      <c r="V106" s="120"/>
      <c r="W106" s="115"/>
      <c r="X106" s="109"/>
      <c r="Y106" s="127"/>
      <c r="Z106" s="65"/>
      <c r="AA106" s="65"/>
      <c r="AB106" s="65"/>
      <c r="AC106" s="65"/>
      <c r="AD106" s="65"/>
      <c r="AE106" s="65"/>
      <c r="AF106" s="65"/>
    </row>
    <row r="107" spans="2:32" ht="19.5" x14ac:dyDescent="0.4">
      <c r="B107" s="64" t="s">
        <v>356</v>
      </c>
      <c r="C107" s="65" t="s">
        <v>249</v>
      </c>
      <c r="D107" s="65"/>
      <c r="E107" s="65"/>
      <c r="F107" s="65" t="s">
        <v>106</v>
      </c>
      <c r="G107" s="65" t="s">
        <v>163</v>
      </c>
      <c r="H107" s="65"/>
      <c r="I107" s="65" t="s">
        <v>6</v>
      </c>
      <c r="J107" s="65"/>
      <c r="K107" s="65" t="s">
        <v>290</v>
      </c>
      <c r="L107" s="65"/>
      <c r="M107" s="65"/>
      <c r="N107" s="65"/>
      <c r="O107" s="65"/>
      <c r="P107" s="65"/>
      <c r="Q107" s="65"/>
      <c r="R107" s="100"/>
      <c r="S107" s="138"/>
      <c r="T107" s="145"/>
      <c r="U107" s="151"/>
      <c r="V107" s="120"/>
      <c r="W107" s="115"/>
      <c r="X107" s="109"/>
      <c r="Y107" s="127"/>
      <c r="Z107" s="65"/>
      <c r="AA107" s="65"/>
      <c r="AB107" s="65"/>
      <c r="AC107" s="65"/>
      <c r="AD107" s="65"/>
      <c r="AE107" s="65"/>
      <c r="AF107" s="65"/>
    </row>
    <row r="108" spans="2:32" ht="19.5" x14ac:dyDescent="0.4">
      <c r="B108" s="64" t="s">
        <v>357</v>
      </c>
      <c r="C108" s="65" t="s">
        <v>246</v>
      </c>
      <c r="D108" s="65"/>
      <c r="E108" s="65"/>
      <c r="F108" s="65" t="s">
        <v>106</v>
      </c>
      <c r="G108" s="65" t="s">
        <v>163</v>
      </c>
      <c r="H108" s="65"/>
      <c r="I108" s="65" t="s">
        <v>6</v>
      </c>
      <c r="J108" s="65"/>
      <c r="K108" s="65" t="s">
        <v>290</v>
      </c>
      <c r="L108" s="65"/>
      <c r="M108" s="65"/>
      <c r="N108" s="65"/>
      <c r="O108" s="65"/>
      <c r="P108" s="65"/>
      <c r="Q108" s="65"/>
      <c r="R108" s="100"/>
      <c r="S108" s="138"/>
      <c r="T108" s="145"/>
      <c r="U108" s="151"/>
      <c r="V108" s="120"/>
      <c r="W108" s="115"/>
      <c r="X108" s="109"/>
      <c r="Y108" s="127"/>
      <c r="Z108" s="65"/>
      <c r="AA108" s="65"/>
      <c r="AB108" s="65"/>
      <c r="AC108" s="65"/>
      <c r="AD108" s="65"/>
      <c r="AE108" s="65"/>
      <c r="AF108" s="65"/>
    </row>
    <row r="109" spans="2:32" ht="19.5" x14ac:dyDescent="0.4">
      <c r="B109" s="64" t="s">
        <v>358</v>
      </c>
      <c r="C109" s="65" t="s">
        <v>236</v>
      </c>
      <c r="D109" s="65"/>
      <c r="E109" s="65"/>
      <c r="F109" s="65" t="s">
        <v>387</v>
      </c>
      <c r="G109" s="65" t="s">
        <v>468</v>
      </c>
      <c r="H109" s="66"/>
      <c r="I109" s="65" t="s">
        <v>6</v>
      </c>
      <c r="J109" s="67"/>
      <c r="K109" s="65" t="s">
        <v>279</v>
      </c>
      <c r="L109" s="65"/>
      <c r="M109" s="65"/>
      <c r="N109" s="65"/>
      <c r="O109" s="65"/>
      <c r="P109" s="65"/>
      <c r="Q109" s="65"/>
      <c r="R109" s="100"/>
      <c r="S109" s="138"/>
      <c r="T109" s="145"/>
      <c r="U109" s="151"/>
      <c r="V109" s="120"/>
      <c r="W109" s="115"/>
      <c r="X109" s="109"/>
      <c r="Y109" s="127"/>
      <c r="Z109" s="65"/>
      <c r="AA109" s="65"/>
      <c r="AB109" s="65"/>
      <c r="AC109" s="65"/>
      <c r="AD109" s="65"/>
      <c r="AE109" s="65"/>
      <c r="AF109" s="65"/>
    </row>
    <row r="110" spans="2:32" ht="19.5" x14ac:dyDescent="0.4">
      <c r="B110" s="64" t="s">
        <v>359</v>
      </c>
      <c r="C110" s="65" t="s">
        <v>257</v>
      </c>
      <c r="D110" s="65"/>
      <c r="E110" s="65"/>
      <c r="F110" s="65" t="s">
        <v>106</v>
      </c>
      <c r="G110" s="65"/>
      <c r="H110" s="65"/>
      <c r="I110" s="65" t="s">
        <v>6</v>
      </c>
      <c r="J110" s="65"/>
      <c r="K110" s="65" t="s">
        <v>279</v>
      </c>
      <c r="L110" s="65"/>
      <c r="M110" s="65"/>
      <c r="N110" s="65"/>
      <c r="O110" s="65"/>
      <c r="P110" s="65"/>
      <c r="Q110" s="65"/>
      <c r="R110" s="100"/>
      <c r="S110" s="138"/>
      <c r="T110" s="145"/>
      <c r="U110" s="151"/>
      <c r="V110" s="120"/>
      <c r="W110" s="115"/>
      <c r="X110" s="109"/>
      <c r="Y110" s="127"/>
      <c r="Z110" s="65"/>
      <c r="AA110" s="65"/>
      <c r="AB110" s="65"/>
      <c r="AC110" s="65"/>
      <c r="AD110" s="65"/>
      <c r="AE110" s="65"/>
      <c r="AF110" s="65"/>
    </row>
    <row r="111" spans="2:32" ht="19.5" x14ac:dyDescent="0.4">
      <c r="B111" s="64" t="s">
        <v>360</v>
      </c>
      <c r="C111" s="65" t="s">
        <v>240</v>
      </c>
      <c r="D111" s="65"/>
      <c r="E111" s="65"/>
      <c r="F111" s="65" t="s">
        <v>387</v>
      </c>
      <c r="G111" s="65" t="s">
        <v>468</v>
      </c>
      <c r="H111" s="66"/>
      <c r="I111" s="65" t="s">
        <v>6</v>
      </c>
      <c r="J111" s="67"/>
      <c r="K111" s="65" t="s">
        <v>279</v>
      </c>
      <c r="L111" s="65"/>
      <c r="M111" s="65"/>
      <c r="N111" s="65"/>
      <c r="O111" s="65"/>
      <c r="P111" s="65"/>
      <c r="Q111" s="65"/>
      <c r="R111" s="100"/>
      <c r="S111" s="138"/>
      <c r="T111" s="145"/>
      <c r="U111" s="151"/>
      <c r="V111" s="120"/>
      <c r="W111" s="115"/>
      <c r="X111" s="109"/>
      <c r="Y111" s="127"/>
      <c r="Z111" s="65"/>
      <c r="AA111" s="65"/>
      <c r="AB111" s="65"/>
      <c r="AC111" s="65"/>
      <c r="AD111" s="65"/>
      <c r="AE111" s="65"/>
      <c r="AF111" s="65"/>
    </row>
    <row r="112" spans="2:32" ht="19.5" x14ac:dyDescent="0.4">
      <c r="B112" s="64" t="s">
        <v>361</v>
      </c>
      <c r="C112" s="65" t="s">
        <v>239</v>
      </c>
      <c r="D112" s="65"/>
      <c r="E112" s="65"/>
      <c r="F112" s="65" t="s">
        <v>387</v>
      </c>
      <c r="G112" s="65" t="s">
        <v>468</v>
      </c>
      <c r="H112" s="66"/>
      <c r="I112" s="65" t="s">
        <v>6</v>
      </c>
      <c r="J112" s="67"/>
      <c r="K112" s="65" t="s">
        <v>279</v>
      </c>
      <c r="L112" s="65"/>
      <c r="M112" s="65"/>
      <c r="N112" s="65"/>
      <c r="O112" s="65"/>
      <c r="P112" s="65"/>
      <c r="Q112" s="65"/>
      <c r="R112" s="100"/>
      <c r="S112" s="138"/>
      <c r="T112" s="145"/>
      <c r="U112" s="151"/>
      <c r="V112" s="120"/>
      <c r="W112" s="115"/>
      <c r="X112" s="109"/>
      <c r="Y112" s="127"/>
      <c r="Z112" s="65"/>
      <c r="AA112" s="65"/>
      <c r="AB112" s="65"/>
      <c r="AC112" s="65"/>
      <c r="AD112" s="65"/>
      <c r="AE112" s="65"/>
      <c r="AF112" s="65"/>
    </row>
    <row r="113" spans="2:32" ht="19.5" x14ac:dyDescent="0.4">
      <c r="B113" s="64" t="s">
        <v>362</v>
      </c>
      <c r="C113" s="65" t="s">
        <v>238</v>
      </c>
      <c r="D113" s="65"/>
      <c r="E113" s="65"/>
      <c r="F113" s="65" t="s">
        <v>387</v>
      </c>
      <c r="G113" s="65" t="s">
        <v>468</v>
      </c>
      <c r="H113" s="66"/>
      <c r="I113" s="65" t="s">
        <v>6</v>
      </c>
      <c r="J113" s="67"/>
      <c r="K113" s="65" t="s">
        <v>279</v>
      </c>
      <c r="L113" s="65"/>
      <c r="M113" s="65"/>
      <c r="N113" s="65"/>
      <c r="O113" s="65"/>
      <c r="P113" s="65"/>
      <c r="Q113" s="65"/>
      <c r="R113" s="100"/>
      <c r="S113" s="138"/>
      <c r="T113" s="145"/>
      <c r="U113" s="151"/>
      <c r="V113" s="120"/>
      <c r="W113" s="115"/>
      <c r="X113" s="109"/>
      <c r="Y113" s="127"/>
      <c r="Z113" s="65"/>
      <c r="AA113" s="65"/>
      <c r="AB113" s="65"/>
      <c r="AC113" s="65"/>
      <c r="AD113" s="65"/>
      <c r="AE113" s="65"/>
      <c r="AF113" s="65"/>
    </row>
    <row r="114" spans="2:32" ht="19.5" x14ac:dyDescent="0.4">
      <c r="B114" s="64" t="s">
        <v>363</v>
      </c>
      <c r="C114" s="65" t="s">
        <v>248</v>
      </c>
      <c r="D114" s="65"/>
      <c r="E114" s="65"/>
      <c r="F114" s="65" t="s">
        <v>387</v>
      </c>
      <c r="G114" s="65" t="s">
        <v>468</v>
      </c>
      <c r="H114" s="66"/>
      <c r="I114" s="65" t="s">
        <v>6</v>
      </c>
      <c r="J114" s="67"/>
      <c r="K114" s="65" t="s">
        <v>279</v>
      </c>
      <c r="L114" s="65"/>
      <c r="M114" s="65"/>
      <c r="N114" s="65"/>
      <c r="O114" s="65"/>
      <c r="P114" s="65"/>
      <c r="Q114" s="65"/>
      <c r="R114" s="100"/>
      <c r="S114" s="138"/>
      <c r="T114" s="145"/>
      <c r="U114" s="151"/>
      <c r="V114" s="120"/>
      <c r="W114" s="115"/>
      <c r="X114" s="109"/>
      <c r="Y114" s="127"/>
      <c r="Z114" s="65"/>
      <c r="AA114" s="65"/>
      <c r="AB114" s="65"/>
      <c r="AC114" s="65"/>
      <c r="AD114" s="65"/>
      <c r="AE114" s="65"/>
      <c r="AF114" s="65"/>
    </row>
    <row r="115" spans="2:32" ht="19.5" x14ac:dyDescent="0.4">
      <c r="B115" s="64" t="s">
        <v>364</v>
      </c>
      <c r="C115" s="65" t="s">
        <v>247</v>
      </c>
      <c r="D115" s="65"/>
      <c r="E115" s="65"/>
      <c r="F115" s="65" t="s">
        <v>387</v>
      </c>
      <c r="G115" s="65" t="s">
        <v>468</v>
      </c>
      <c r="H115" s="66"/>
      <c r="I115" s="65" t="s">
        <v>6</v>
      </c>
      <c r="J115" s="67"/>
      <c r="K115" s="65" t="s">
        <v>279</v>
      </c>
      <c r="L115" s="65"/>
      <c r="M115" s="65"/>
      <c r="N115" s="65"/>
      <c r="O115" s="65"/>
      <c r="P115" s="65"/>
      <c r="Q115" s="65"/>
      <c r="R115" s="100"/>
      <c r="S115" s="138"/>
      <c r="T115" s="145"/>
      <c r="U115" s="151"/>
      <c r="V115" s="120"/>
      <c r="W115" s="115"/>
      <c r="X115" s="109"/>
      <c r="Y115" s="127"/>
      <c r="Z115" s="65"/>
      <c r="AA115" s="65"/>
      <c r="AB115" s="65"/>
      <c r="AC115" s="65"/>
      <c r="AD115" s="65"/>
      <c r="AE115" s="65"/>
      <c r="AF115" s="65"/>
    </row>
    <row r="116" spans="2:32" ht="19.5" x14ac:dyDescent="0.4">
      <c r="B116" s="64" t="s">
        <v>365</v>
      </c>
      <c r="C116" s="71" t="s">
        <v>371</v>
      </c>
      <c r="D116" s="71"/>
      <c r="E116" s="71"/>
      <c r="F116" s="65" t="s">
        <v>387</v>
      </c>
      <c r="G116" s="65" t="s">
        <v>468</v>
      </c>
      <c r="H116" s="66"/>
      <c r="I116" s="65" t="s">
        <v>6</v>
      </c>
      <c r="J116" s="67"/>
      <c r="K116" s="65" t="s">
        <v>279</v>
      </c>
      <c r="L116" s="65"/>
      <c r="M116" s="65"/>
      <c r="N116" s="65"/>
      <c r="O116" s="65"/>
      <c r="P116" s="65"/>
      <c r="Q116" s="65"/>
      <c r="R116" s="100"/>
      <c r="S116" s="138"/>
      <c r="T116" s="145"/>
      <c r="U116" s="151"/>
      <c r="V116" s="120"/>
      <c r="W116" s="115"/>
      <c r="X116" s="109"/>
      <c r="Y116" s="127"/>
      <c r="Z116" s="65"/>
      <c r="AA116" s="65"/>
      <c r="AB116" s="65"/>
      <c r="AC116" s="65"/>
      <c r="AD116" s="65"/>
      <c r="AE116" s="65"/>
      <c r="AF116" s="65"/>
    </row>
    <row r="117" spans="2:32" ht="19.5" x14ac:dyDescent="0.4">
      <c r="B117" s="64" t="s">
        <v>366</v>
      </c>
      <c r="C117" s="71" t="s">
        <v>370</v>
      </c>
      <c r="D117" s="71"/>
      <c r="E117" s="71"/>
      <c r="F117" s="65" t="s">
        <v>387</v>
      </c>
      <c r="G117" s="65" t="s">
        <v>468</v>
      </c>
      <c r="H117" s="66"/>
      <c r="I117" s="65" t="s">
        <v>6</v>
      </c>
      <c r="J117" s="67"/>
      <c r="K117" s="65" t="s">
        <v>279</v>
      </c>
      <c r="L117" s="65"/>
      <c r="M117" s="65"/>
      <c r="N117" s="65"/>
      <c r="O117" s="65"/>
      <c r="P117" s="65"/>
      <c r="Q117" s="65"/>
      <c r="R117" s="100"/>
      <c r="S117" s="138"/>
      <c r="T117" s="145"/>
      <c r="U117" s="151"/>
      <c r="V117" s="120"/>
      <c r="W117" s="115"/>
      <c r="X117" s="109"/>
      <c r="Y117" s="127"/>
      <c r="Z117" s="65"/>
      <c r="AA117" s="65"/>
      <c r="AB117" s="65"/>
      <c r="AC117" s="65"/>
      <c r="AD117" s="65"/>
      <c r="AE117" s="65"/>
      <c r="AF117" s="65"/>
    </row>
    <row r="118" spans="2:32" ht="19.5" x14ac:dyDescent="0.4">
      <c r="B118" s="64" t="s">
        <v>367</v>
      </c>
      <c r="C118" s="71" t="s">
        <v>237</v>
      </c>
      <c r="D118" s="71"/>
      <c r="E118" s="71"/>
      <c r="F118" s="65" t="s">
        <v>387</v>
      </c>
      <c r="G118" s="65" t="s">
        <v>220</v>
      </c>
      <c r="H118" s="66"/>
      <c r="I118" s="65" t="s">
        <v>6</v>
      </c>
      <c r="J118" s="67"/>
      <c r="K118" s="65" t="s">
        <v>290</v>
      </c>
      <c r="L118" s="65"/>
      <c r="M118" s="65"/>
      <c r="N118" s="65"/>
      <c r="O118" s="65"/>
      <c r="P118" s="65"/>
      <c r="Q118" s="65"/>
      <c r="R118" s="100"/>
      <c r="S118" s="138"/>
      <c r="T118" s="145"/>
      <c r="U118" s="151"/>
      <c r="V118" s="120"/>
      <c r="W118" s="115"/>
      <c r="X118" s="110">
        <v>6000</v>
      </c>
      <c r="Y118" s="127"/>
      <c r="Z118" s="65"/>
      <c r="AA118" s="65"/>
      <c r="AB118" s="65"/>
      <c r="AC118" s="65"/>
      <c r="AD118" s="65"/>
      <c r="AE118" s="65"/>
      <c r="AF118" s="65"/>
    </row>
    <row r="119" spans="2:32" ht="19.5" x14ac:dyDescent="0.4">
      <c r="B119" s="64" t="s">
        <v>368</v>
      </c>
      <c r="C119" s="71" t="s">
        <v>386</v>
      </c>
      <c r="D119" s="71"/>
      <c r="E119" s="71"/>
      <c r="F119" s="65" t="s">
        <v>387</v>
      </c>
      <c r="G119" s="65" t="s">
        <v>468</v>
      </c>
      <c r="H119" s="66"/>
      <c r="I119" s="65" t="s">
        <v>6</v>
      </c>
      <c r="J119" s="67"/>
      <c r="K119" s="65" t="s">
        <v>279</v>
      </c>
      <c r="L119" s="65"/>
      <c r="M119" s="65"/>
      <c r="N119" s="65"/>
      <c r="O119" s="65"/>
      <c r="P119" s="65"/>
      <c r="Q119" s="65"/>
      <c r="R119" s="100"/>
      <c r="S119" s="138"/>
      <c r="T119" s="145"/>
      <c r="U119" s="151"/>
      <c r="V119" s="120"/>
      <c r="W119" s="115"/>
      <c r="X119" s="109"/>
      <c r="Y119" s="127"/>
      <c r="Z119" s="65"/>
      <c r="AA119" s="65"/>
      <c r="AB119" s="65"/>
      <c r="AC119" s="65"/>
      <c r="AD119" s="65"/>
      <c r="AE119" s="65"/>
      <c r="AF119" s="65"/>
    </row>
    <row r="120" spans="2:32" ht="19.5" x14ac:dyDescent="0.4">
      <c r="B120" s="64" t="s">
        <v>369</v>
      </c>
      <c r="C120" s="71" t="s">
        <v>385</v>
      </c>
      <c r="D120" s="71"/>
      <c r="E120" s="71"/>
      <c r="F120" s="65" t="s">
        <v>387</v>
      </c>
      <c r="G120" s="65" t="s">
        <v>468</v>
      </c>
      <c r="H120" s="66"/>
      <c r="I120" s="65" t="s">
        <v>6</v>
      </c>
      <c r="J120" s="67"/>
      <c r="K120" s="65" t="s">
        <v>279</v>
      </c>
      <c r="L120" s="65"/>
      <c r="M120" s="65"/>
      <c r="N120" s="65"/>
      <c r="O120" s="65"/>
      <c r="P120" s="65"/>
      <c r="Q120" s="65"/>
      <c r="R120" s="100"/>
      <c r="S120" s="138"/>
      <c r="T120" s="145"/>
      <c r="U120" s="151"/>
      <c r="V120" s="120"/>
      <c r="W120" s="115"/>
      <c r="X120" s="109"/>
      <c r="Y120" s="127"/>
      <c r="Z120" s="65"/>
      <c r="AA120" s="65"/>
      <c r="AB120" s="65"/>
      <c r="AC120" s="65"/>
      <c r="AD120" s="65"/>
      <c r="AE120" s="65"/>
      <c r="AF120" s="65"/>
    </row>
    <row r="121" spans="2:32" ht="19.5" x14ac:dyDescent="0.4">
      <c r="B121" s="64" t="s">
        <v>388</v>
      </c>
      <c r="C121" s="71" t="s">
        <v>384</v>
      </c>
      <c r="D121" s="71"/>
      <c r="E121" s="71"/>
      <c r="F121" s="65" t="s">
        <v>387</v>
      </c>
      <c r="G121" s="65" t="s">
        <v>468</v>
      </c>
      <c r="H121" s="66"/>
      <c r="I121" s="65" t="s">
        <v>6</v>
      </c>
      <c r="J121" s="67"/>
      <c r="K121" s="65" t="s">
        <v>279</v>
      </c>
      <c r="L121" s="65"/>
      <c r="M121" s="65"/>
      <c r="N121" s="65"/>
      <c r="O121" s="65"/>
      <c r="P121" s="65"/>
      <c r="Q121" s="65"/>
      <c r="R121" s="100"/>
      <c r="S121" s="138"/>
      <c r="T121" s="145"/>
      <c r="U121" s="151"/>
      <c r="V121" s="120"/>
      <c r="W121" s="115"/>
      <c r="X121" s="109"/>
      <c r="Y121" s="127"/>
      <c r="Z121" s="65"/>
      <c r="AA121" s="65"/>
      <c r="AB121" s="65"/>
      <c r="AC121" s="65"/>
      <c r="AD121" s="65"/>
      <c r="AE121" s="65"/>
      <c r="AF121" s="65"/>
    </row>
    <row r="122" spans="2:32" ht="19.5" x14ac:dyDescent="0.4">
      <c r="B122" s="64" t="s">
        <v>389</v>
      </c>
      <c r="C122" s="71" t="s">
        <v>383</v>
      </c>
      <c r="D122" s="71"/>
      <c r="E122" s="71"/>
      <c r="F122" s="65" t="s">
        <v>387</v>
      </c>
      <c r="G122" s="65" t="s">
        <v>468</v>
      </c>
      <c r="H122" s="66"/>
      <c r="I122" s="65" t="s">
        <v>6</v>
      </c>
      <c r="J122" s="67"/>
      <c r="K122" s="65" t="s">
        <v>279</v>
      </c>
      <c r="L122" s="65"/>
      <c r="M122" s="65"/>
      <c r="N122" s="65"/>
      <c r="O122" s="65"/>
      <c r="P122" s="65"/>
      <c r="Q122" s="65"/>
      <c r="R122" s="100"/>
      <c r="S122" s="138"/>
      <c r="T122" s="145"/>
      <c r="U122" s="151"/>
      <c r="V122" s="120"/>
      <c r="W122" s="115"/>
      <c r="X122" s="109"/>
      <c r="Y122" s="127"/>
      <c r="Z122" s="65"/>
      <c r="AA122" s="65"/>
      <c r="AB122" s="65"/>
      <c r="AC122" s="65"/>
      <c r="AD122" s="65"/>
      <c r="AE122" s="65"/>
      <c r="AF122" s="65"/>
    </row>
    <row r="123" spans="2:32" ht="19.5" x14ac:dyDescent="0.4">
      <c r="B123" s="64" t="s">
        <v>390</v>
      </c>
      <c r="C123" s="71" t="s">
        <v>382</v>
      </c>
      <c r="D123" s="71"/>
      <c r="E123" s="71"/>
      <c r="F123" s="65" t="s">
        <v>387</v>
      </c>
      <c r="G123" s="65" t="s">
        <v>468</v>
      </c>
      <c r="H123" s="66"/>
      <c r="I123" s="65" t="s">
        <v>6</v>
      </c>
      <c r="J123" s="67"/>
      <c r="K123" s="65" t="s">
        <v>279</v>
      </c>
      <c r="L123" s="65"/>
      <c r="M123" s="65"/>
      <c r="N123" s="65"/>
      <c r="O123" s="65"/>
      <c r="P123" s="65"/>
      <c r="Q123" s="65"/>
      <c r="R123" s="100"/>
      <c r="S123" s="138"/>
      <c r="T123" s="145"/>
      <c r="U123" s="151"/>
      <c r="V123" s="120"/>
      <c r="W123" s="115"/>
      <c r="X123" s="109"/>
      <c r="Y123" s="127"/>
      <c r="Z123" s="65"/>
      <c r="AA123" s="65"/>
      <c r="AB123" s="65"/>
      <c r="AC123" s="65"/>
      <c r="AD123" s="65"/>
      <c r="AE123" s="65"/>
      <c r="AF123" s="65"/>
    </row>
    <row r="124" spans="2:32" ht="19.5" x14ac:dyDescent="0.4">
      <c r="B124" s="64" t="s">
        <v>391</v>
      </c>
      <c r="C124" s="71" t="s">
        <v>381</v>
      </c>
      <c r="D124" s="71"/>
      <c r="E124" s="71"/>
      <c r="F124" s="65" t="s">
        <v>387</v>
      </c>
      <c r="G124" s="65" t="s">
        <v>468</v>
      </c>
      <c r="H124" s="66"/>
      <c r="I124" s="65" t="s">
        <v>6</v>
      </c>
      <c r="J124" s="67"/>
      <c r="K124" s="65" t="s">
        <v>279</v>
      </c>
      <c r="L124" s="65"/>
      <c r="M124" s="65"/>
      <c r="N124" s="65"/>
      <c r="O124" s="65"/>
      <c r="P124" s="65"/>
      <c r="Q124" s="65"/>
      <c r="R124" s="100"/>
      <c r="S124" s="138"/>
      <c r="T124" s="145"/>
      <c r="U124" s="151"/>
      <c r="V124" s="120"/>
      <c r="W124" s="115"/>
      <c r="X124" s="109"/>
      <c r="Y124" s="127"/>
      <c r="Z124" s="65"/>
      <c r="AA124" s="65"/>
      <c r="AB124" s="65"/>
      <c r="AC124" s="65"/>
      <c r="AD124" s="65"/>
      <c r="AE124" s="65"/>
      <c r="AF124" s="65"/>
    </row>
    <row r="125" spans="2:32" ht="19.5" x14ac:dyDescent="0.4">
      <c r="B125" s="64" t="s">
        <v>392</v>
      </c>
      <c r="C125" s="71" t="s">
        <v>372</v>
      </c>
      <c r="D125" s="71"/>
      <c r="E125" s="71"/>
      <c r="F125" s="65" t="s">
        <v>387</v>
      </c>
      <c r="G125" s="65" t="s">
        <v>468</v>
      </c>
      <c r="H125" s="66"/>
      <c r="I125" s="65" t="s">
        <v>6</v>
      </c>
      <c r="J125" s="67"/>
      <c r="K125" s="65" t="s">
        <v>279</v>
      </c>
      <c r="L125" s="65"/>
      <c r="M125" s="65"/>
      <c r="N125" s="65"/>
      <c r="O125" s="65"/>
      <c r="P125" s="65"/>
      <c r="Q125" s="65"/>
      <c r="R125" s="100"/>
      <c r="S125" s="138"/>
      <c r="T125" s="145"/>
      <c r="U125" s="151"/>
      <c r="V125" s="120"/>
      <c r="W125" s="115"/>
      <c r="X125" s="109"/>
      <c r="Y125" s="127"/>
      <c r="Z125" s="65"/>
      <c r="AA125" s="65"/>
      <c r="AB125" s="65"/>
      <c r="AC125" s="65"/>
      <c r="AD125" s="65"/>
      <c r="AE125" s="65"/>
      <c r="AF125" s="65"/>
    </row>
    <row r="126" spans="2:32" ht="19.5" x14ac:dyDescent="0.4">
      <c r="B126" s="64" t="s">
        <v>393</v>
      </c>
      <c r="C126" s="71" t="s">
        <v>373</v>
      </c>
      <c r="D126" s="71"/>
      <c r="E126" s="71"/>
      <c r="F126" s="65" t="s">
        <v>387</v>
      </c>
      <c r="G126" s="65" t="s">
        <v>468</v>
      </c>
      <c r="H126" s="66"/>
      <c r="I126" s="65" t="s">
        <v>6</v>
      </c>
      <c r="J126" s="67"/>
      <c r="K126" s="65" t="s">
        <v>279</v>
      </c>
      <c r="L126" s="65"/>
      <c r="M126" s="65"/>
      <c r="N126" s="65"/>
      <c r="O126" s="65"/>
      <c r="P126" s="65"/>
      <c r="Q126" s="65"/>
      <c r="R126" s="100"/>
      <c r="S126" s="138"/>
      <c r="T126" s="145"/>
      <c r="U126" s="151"/>
      <c r="V126" s="120"/>
      <c r="W126" s="115"/>
      <c r="X126" s="109"/>
      <c r="Y126" s="127"/>
      <c r="Z126" s="65"/>
      <c r="AA126" s="65"/>
      <c r="AB126" s="65"/>
      <c r="AC126" s="65"/>
      <c r="AD126" s="65"/>
      <c r="AE126" s="65"/>
      <c r="AF126" s="65"/>
    </row>
    <row r="127" spans="2:32" s="58" customFormat="1" ht="19.5" x14ac:dyDescent="0.4">
      <c r="B127" s="99" t="s">
        <v>394</v>
      </c>
      <c r="C127" s="103" t="s">
        <v>778</v>
      </c>
      <c r="D127" s="103"/>
      <c r="E127" s="103"/>
      <c r="F127" s="100" t="s">
        <v>106</v>
      </c>
      <c r="G127" s="100" t="s">
        <v>163</v>
      </c>
      <c r="H127" s="101"/>
      <c r="I127" s="100" t="s">
        <v>6</v>
      </c>
      <c r="J127" s="102"/>
      <c r="K127" s="100" t="s">
        <v>779</v>
      </c>
      <c r="L127" s="134">
        <v>3000</v>
      </c>
      <c r="M127" s="100"/>
      <c r="N127" s="100"/>
      <c r="O127" s="100"/>
      <c r="P127" s="100"/>
      <c r="Q127" s="100"/>
      <c r="R127" s="100"/>
      <c r="S127" s="140"/>
      <c r="T127" s="145"/>
      <c r="U127" s="151"/>
      <c r="V127" s="122"/>
      <c r="W127" s="115"/>
      <c r="X127" s="109"/>
      <c r="Y127" s="127"/>
      <c r="Z127" s="100"/>
      <c r="AA127" s="100"/>
      <c r="AB127" s="100"/>
      <c r="AC127" s="100"/>
      <c r="AD127" s="100"/>
      <c r="AE127" s="100"/>
      <c r="AF127" s="100"/>
    </row>
    <row r="128" spans="2:32" ht="19.5" x14ac:dyDescent="0.4">
      <c r="B128" s="64" t="s">
        <v>395</v>
      </c>
      <c r="C128" s="71" t="s">
        <v>374</v>
      </c>
      <c r="D128" s="71"/>
      <c r="E128" s="71"/>
      <c r="F128" s="65" t="s">
        <v>387</v>
      </c>
      <c r="G128" s="65" t="s">
        <v>468</v>
      </c>
      <c r="H128" s="66"/>
      <c r="I128" s="65" t="s">
        <v>6</v>
      </c>
      <c r="J128" s="67"/>
      <c r="K128" s="65" t="s">
        <v>279</v>
      </c>
      <c r="L128" s="65"/>
      <c r="M128" s="65"/>
      <c r="N128" s="65"/>
      <c r="O128" s="65"/>
      <c r="P128" s="65"/>
      <c r="Q128" s="65"/>
      <c r="R128" s="100"/>
      <c r="S128" s="138"/>
      <c r="T128" s="145"/>
      <c r="U128" s="151"/>
      <c r="V128" s="120"/>
      <c r="W128" s="115"/>
      <c r="X128" s="109"/>
      <c r="Y128" s="127"/>
      <c r="Z128" s="65"/>
      <c r="AA128" s="65"/>
      <c r="AB128" s="65"/>
      <c r="AC128" s="65"/>
      <c r="AD128" s="65"/>
      <c r="AE128" s="65"/>
      <c r="AF128" s="65"/>
    </row>
    <row r="129" spans="2:32" ht="19.5" x14ac:dyDescent="0.4">
      <c r="B129" s="64" t="s">
        <v>396</v>
      </c>
      <c r="C129" s="71" t="s">
        <v>375</v>
      </c>
      <c r="D129" s="71"/>
      <c r="E129" s="71"/>
      <c r="F129" s="65" t="s">
        <v>387</v>
      </c>
      <c r="G129" s="65" t="s">
        <v>468</v>
      </c>
      <c r="H129" s="66"/>
      <c r="I129" s="65" t="s">
        <v>6</v>
      </c>
      <c r="J129" s="67"/>
      <c r="K129" s="65" t="s">
        <v>279</v>
      </c>
      <c r="L129" s="65"/>
      <c r="M129" s="65"/>
      <c r="N129" s="65"/>
      <c r="O129" s="65"/>
      <c r="P129" s="65"/>
      <c r="Q129" s="65"/>
      <c r="R129" s="100"/>
      <c r="S129" s="138"/>
      <c r="T129" s="145"/>
      <c r="U129" s="151"/>
      <c r="V129" s="120"/>
      <c r="W129" s="115"/>
      <c r="X129" s="109"/>
      <c r="Y129" s="127"/>
      <c r="Z129" s="65"/>
      <c r="AA129" s="65"/>
      <c r="AB129" s="65"/>
      <c r="AC129" s="65"/>
      <c r="AD129" s="65"/>
      <c r="AE129" s="65"/>
      <c r="AF129" s="65"/>
    </row>
    <row r="130" spans="2:32" ht="19.5" x14ac:dyDescent="0.4">
      <c r="B130" s="64" t="s">
        <v>397</v>
      </c>
      <c r="C130" s="71" t="s">
        <v>376</v>
      </c>
      <c r="D130" s="71"/>
      <c r="E130" s="71"/>
      <c r="F130" s="65" t="s">
        <v>387</v>
      </c>
      <c r="G130" s="65" t="s">
        <v>468</v>
      </c>
      <c r="H130" s="66"/>
      <c r="I130" s="65" t="s">
        <v>6</v>
      </c>
      <c r="J130" s="67"/>
      <c r="K130" s="65" t="s">
        <v>279</v>
      </c>
      <c r="L130" s="65"/>
      <c r="M130" s="65"/>
      <c r="N130" s="65"/>
      <c r="O130" s="65"/>
      <c r="P130" s="65"/>
      <c r="Q130" s="65"/>
      <c r="R130" s="100"/>
      <c r="S130" s="138"/>
      <c r="T130" s="145"/>
      <c r="U130" s="151"/>
      <c r="V130" s="120"/>
      <c r="W130" s="115"/>
      <c r="X130" s="109"/>
      <c r="Y130" s="127"/>
      <c r="Z130" s="65"/>
      <c r="AA130" s="65"/>
      <c r="AB130" s="65"/>
      <c r="AC130" s="65"/>
      <c r="AD130" s="65"/>
      <c r="AE130" s="65"/>
      <c r="AF130" s="65"/>
    </row>
    <row r="131" spans="2:32" ht="19.5" x14ac:dyDescent="0.4">
      <c r="B131" s="64" t="s">
        <v>398</v>
      </c>
      <c r="C131" s="71" t="s">
        <v>377</v>
      </c>
      <c r="D131" s="71"/>
      <c r="E131" s="71"/>
      <c r="F131" s="65" t="s">
        <v>387</v>
      </c>
      <c r="G131" s="65" t="s">
        <v>468</v>
      </c>
      <c r="H131" s="66"/>
      <c r="I131" s="65" t="s">
        <v>6</v>
      </c>
      <c r="J131" s="67"/>
      <c r="K131" s="65" t="s">
        <v>279</v>
      </c>
      <c r="L131" s="65"/>
      <c r="M131" s="65"/>
      <c r="N131" s="65"/>
      <c r="O131" s="65"/>
      <c r="P131" s="65"/>
      <c r="Q131" s="65"/>
      <c r="R131" s="100"/>
      <c r="S131" s="138"/>
      <c r="T131" s="145"/>
      <c r="U131" s="151"/>
      <c r="V131" s="120"/>
      <c r="W131" s="115"/>
      <c r="X131" s="109"/>
      <c r="Y131" s="127"/>
      <c r="Z131" s="65"/>
      <c r="AA131" s="65"/>
      <c r="AB131" s="65"/>
      <c r="AC131" s="65"/>
      <c r="AD131" s="65"/>
      <c r="AE131" s="65"/>
      <c r="AF131" s="65"/>
    </row>
    <row r="132" spans="2:32" ht="19.5" x14ac:dyDescent="0.4">
      <c r="B132" s="64" t="s">
        <v>399</v>
      </c>
      <c r="C132" s="71" t="s">
        <v>378</v>
      </c>
      <c r="D132" s="71"/>
      <c r="E132" s="71"/>
      <c r="F132" s="65" t="s">
        <v>387</v>
      </c>
      <c r="G132" s="65" t="s">
        <v>468</v>
      </c>
      <c r="H132" s="66"/>
      <c r="I132" s="65" t="s">
        <v>6</v>
      </c>
      <c r="J132" s="67"/>
      <c r="K132" s="65" t="s">
        <v>279</v>
      </c>
      <c r="L132" s="65"/>
      <c r="M132" s="65"/>
      <c r="N132" s="65"/>
      <c r="O132" s="65"/>
      <c r="P132" s="65"/>
      <c r="Q132" s="65"/>
      <c r="R132" s="100"/>
      <c r="S132" s="138"/>
      <c r="T132" s="145"/>
      <c r="U132" s="151"/>
      <c r="V132" s="120"/>
      <c r="W132" s="115"/>
      <c r="X132" s="109"/>
      <c r="Y132" s="127"/>
      <c r="Z132" s="65"/>
      <c r="AA132" s="65"/>
      <c r="AB132" s="65"/>
      <c r="AC132" s="65"/>
      <c r="AD132" s="65"/>
      <c r="AE132" s="65"/>
      <c r="AF132" s="65"/>
    </row>
    <row r="133" spans="2:32" ht="19.5" x14ac:dyDescent="0.4">
      <c r="B133" s="64" t="s">
        <v>400</v>
      </c>
      <c r="C133" s="71" t="s">
        <v>379</v>
      </c>
      <c r="D133" s="71"/>
      <c r="E133" s="71"/>
      <c r="F133" s="65" t="s">
        <v>387</v>
      </c>
      <c r="G133" s="65" t="s">
        <v>468</v>
      </c>
      <c r="H133" s="66"/>
      <c r="I133" s="65" t="s">
        <v>6</v>
      </c>
      <c r="J133" s="67"/>
      <c r="K133" s="65" t="s">
        <v>279</v>
      </c>
      <c r="L133" s="65"/>
      <c r="M133" s="65"/>
      <c r="N133" s="65"/>
      <c r="O133" s="65"/>
      <c r="P133" s="65"/>
      <c r="Q133" s="65"/>
      <c r="R133" s="100"/>
      <c r="S133" s="138"/>
      <c r="T133" s="145"/>
      <c r="U133" s="151"/>
      <c r="V133" s="120"/>
      <c r="W133" s="115"/>
      <c r="X133" s="109"/>
      <c r="Y133" s="127"/>
      <c r="Z133" s="65"/>
      <c r="AA133" s="65"/>
      <c r="AB133" s="65"/>
      <c r="AC133" s="65"/>
      <c r="AD133" s="65"/>
      <c r="AE133" s="65"/>
      <c r="AF133" s="65"/>
    </row>
    <row r="134" spans="2:32" ht="19.5" x14ac:dyDescent="0.4">
      <c r="B134" s="64" t="s">
        <v>401</v>
      </c>
      <c r="C134" s="71" t="s">
        <v>380</v>
      </c>
      <c r="D134" s="71"/>
      <c r="E134" s="71"/>
      <c r="F134" s="65" t="s">
        <v>387</v>
      </c>
      <c r="G134" s="65" t="s">
        <v>468</v>
      </c>
      <c r="H134" s="66"/>
      <c r="I134" s="65" t="s">
        <v>6</v>
      </c>
      <c r="J134" s="67"/>
      <c r="K134" s="65" t="s">
        <v>279</v>
      </c>
      <c r="L134" s="65"/>
      <c r="M134" s="65"/>
      <c r="N134" s="65"/>
      <c r="O134" s="65"/>
      <c r="P134" s="65"/>
      <c r="Q134" s="65"/>
      <c r="R134" s="100"/>
      <c r="S134" s="138"/>
      <c r="T134" s="145"/>
      <c r="U134" s="151"/>
      <c r="V134" s="120"/>
      <c r="W134" s="115"/>
      <c r="X134" s="109"/>
      <c r="Y134" s="127"/>
      <c r="Z134" s="65"/>
      <c r="AA134" s="65"/>
      <c r="AB134" s="65"/>
      <c r="AC134" s="65"/>
      <c r="AD134" s="65"/>
      <c r="AE134" s="65"/>
      <c r="AF134" s="65"/>
    </row>
    <row r="135" spans="2:32" ht="19.5" x14ac:dyDescent="0.4">
      <c r="B135" s="64" t="s">
        <v>402</v>
      </c>
      <c r="C135" s="65" t="s">
        <v>469</v>
      </c>
      <c r="D135" s="65" t="s">
        <v>526</v>
      </c>
      <c r="E135" s="65"/>
      <c r="F135" s="65" t="s">
        <v>106</v>
      </c>
      <c r="G135" s="65" t="s">
        <v>163</v>
      </c>
      <c r="H135" s="65" t="s">
        <v>470</v>
      </c>
      <c r="I135" s="65" t="s">
        <v>6</v>
      </c>
      <c r="J135" s="65"/>
      <c r="K135" s="65" t="s">
        <v>279</v>
      </c>
      <c r="L135" s="65"/>
      <c r="M135" s="65"/>
      <c r="N135" s="65"/>
      <c r="O135" s="65"/>
      <c r="P135" s="65"/>
      <c r="Q135" s="65"/>
      <c r="R135" s="100"/>
      <c r="S135" s="138"/>
      <c r="T135" s="145"/>
      <c r="U135" s="151"/>
      <c r="V135" s="120"/>
      <c r="W135" s="116">
        <v>7500</v>
      </c>
      <c r="X135" s="109"/>
      <c r="Y135" s="127"/>
      <c r="Z135" s="65"/>
      <c r="AA135" s="65"/>
      <c r="AB135" s="65"/>
      <c r="AC135" s="65"/>
      <c r="AD135" s="65"/>
      <c r="AE135" s="65"/>
      <c r="AF135" s="65"/>
    </row>
    <row r="136" spans="2:32" ht="19.5" x14ac:dyDescent="0.4">
      <c r="B136" s="64" t="s">
        <v>403</v>
      </c>
      <c r="C136" s="65" t="s">
        <v>472</v>
      </c>
      <c r="D136" s="65" t="s">
        <v>609</v>
      </c>
      <c r="E136" s="65" t="s">
        <v>532</v>
      </c>
      <c r="F136" s="65" t="s">
        <v>106</v>
      </c>
      <c r="G136" s="65" t="s">
        <v>163</v>
      </c>
      <c r="H136" s="65" t="s">
        <v>470</v>
      </c>
      <c r="I136" s="65" t="s">
        <v>6</v>
      </c>
      <c r="J136" s="65"/>
      <c r="K136" s="65" t="s">
        <v>279</v>
      </c>
      <c r="L136" s="65"/>
      <c r="M136" s="65"/>
      <c r="N136" s="65"/>
      <c r="O136" s="65"/>
      <c r="P136" s="65"/>
      <c r="Q136" s="65"/>
      <c r="R136" s="100"/>
      <c r="S136" s="138"/>
      <c r="T136" s="145"/>
      <c r="U136" s="151"/>
      <c r="V136" s="120"/>
      <c r="W136" s="116">
        <v>4000</v>
      </c>
      <c r="X136" s="110">
        <v>6000</v>
      </c>
      <c r="Y136" s="127"/>
      <c r="Z136" s="65"/>
      <c r="AA136" s="65"/>
      <c r="AB136" s="65"/>
      <c r="AC136" s="65"/>
      <c r="AD136" s="65"/>
      <c r="AE136" s="65"/>
      <c r="AF136" s="65"/>
    </row>
    <row r="137" spans="2:32" ht="19.5" x14ac:dyDescent="0.4">
      <c r="B137" s="64" t="s">
        <v>404</v>
      </c>
      <c r="C137" s="65" t="s">
        <v>529</v>
      </c>
      <c r="D137" s="65" t="s">
        <v>530</v>
      </c>
      <c r="E137" s="65"/>
      <c r="F137" s="65" t="s">
        <v>106</v>
      </c>
      <c r="G137" s="65" t="s">
        <v>163</v>
      </c>
      <c r="H137" s="65" t="s">
        <v>471</v>
      </c>
      <c r="I137" s="65" t="s">
        <v>6</v>
      </c>
      <c r="J137" s="65"/>
      <c r="K137" s="65" t="s">
        <v>279</v>
      </c>
      <c r="L137" s="65"/>
      <c r="M137" s="65"/>
      <c r="N137" s="65"/>
      <c r="O137" s="65"/>
      <c r="P137" s="65"/>
      <c r="Q137" s="65"/>
      <c r="R137" s="100"/>
      <c r="S137" s="138"/>
      <c r="T137" s="145"/>
      <c r="U137" s="151"/>
      <c r="V137" s="120"/>
      <c r="W137" s="115"/>
      <c r="X137" s="109"/>
      <c r="Y137" s="127"/>
      <c r="Z137" s="65"/>
      <c r="AA137" s="65"/>
      <c r="AB137" s="65"/>
      <c r="AC137" s="65"/>
      <c r="AD137" s="65"/>
      <c r="AE137" s="65"/>
      <c r="AF137" s="65"/>
    </row>
    <row r="138" spans="2:32" ht="19.5" x14ac:dyDescent="0.4">
      <c r="B138" s="64" t="s">
        <v>405</v>
      </c>
      <c r="C138" s="65" t="s">
        <v>473</v>
      </c>
      <c r="D138" s="65" t="s">
        <v>531</v>
      </c>
      <c r="E138" s="65"/>
      <c r="F138" s="65" t="s">
        <v>106</v>
      </c>
      <c r="G138" s="65" t="s">
        <v>163</v>
      </c>
      <c r="H138" s="65" t="s">
        <v>471</v>
      </c>
      <c r="I138" s="65" t="s">
        <v>6</v>
      </c>
      <c r="J138" s="65"/>
      <c r="K138" s="65" t="s">
        <v>279</v>
      </c>
      <c r="L138" s="65"/>
      <c r="M138" s="65"/>
      <c r="N138" s="65"/>
      <c r="O138" s="65"/>
      <c r="P138" s="65"/>
      <c r="Q138" s="65"/>
      <c r="R138" s="100"/>
      <c r="S138" s="138"/>
      <c r="T138" s="145"/>
      <c r="U138" s="151"/>
      <c r="V138" s="120"/>
      <c r="W138" s="116">
        <v>9000</v>
      </c>
      <c r="X138" s="109"/>
      <c r="Y138" s="127"/>
      <c r="Z138" s="65"/>
      <c r="AA138" s="65"/>
      <c r="AB138" s="65"/>
      <c r="AC138" s="65"/>
      <c r="AD138" s="65"/>
      <c r="AE138" s="65"/>
      <c r="AF138" s="65"/>
    </row>
    <row r="139" spans="2:32" ht="19.5" x14ac:dyDescent="0.4">
      <c r="B139" s="64" t="s">
        <v>406</v>
      </c>
      <c r="C139" s="65" t="s">
        <v>474</v>
      </c>
      <c r="D139" s="65"/>
      <c r="E139" s="65"/>
      <c r="F139" s="65" t="s">
        <v>106</v>
      </c>
      <c r="G139" s="65" t="s">
        <v>163</v>
      </c>
      <c r="H139" s="66">
        <v>45907</v>
      </c>
      <c r="I139" s="65" t="s">
        <v>159</v>
      </c>
      <c r="J139" s="65"/>
      <c r="K139" s="65" t="s">
        <v>155</v>
      </c>
      <c r="L139" s="65"/>
      <c r="M139" s="65"/>
      <c r="N139" s="65"/>
      <c r="O139" s="65"/>
      <c r="P139" s="65"/>
      <c r="Q139" s="65"/>
      <c r="R139" s="100"/>
      <c r="S139" s="138"/>
      <c r="T139" s="145"/>
      <c r="U139" s="151"/>
      <c r="V139" s="120"/>
      <c r="W139" s="115"/>
      <c r="X139" s="109"/>
      <c r="Y139" s="127"/>
      <c r="Z139" s="65"/>
      <c r="AA139" s="65"/>
      <c r="AB139" s="65"/>
      <c r="AC139" s="65"/>
      <c r="AD139" s="65"/>
      <c r="AE139" s="65"/>
      <c r="AF139" s="65"/>
    </row>
    <row r="140" spans="2:32" ht="19.5" x14ac:dyDescent="0.4">
      <c r="B140" s="64" t="s">
        <v>407</v>
      </c>
      <c r="C140" s="65" t="s">
        <v>475</v>
      </c>
      <c r="D140" s="65"/>
      <c r="E140" s="65"/>
      <c r="F140" s="65" t="s">
        <v>106</v>
      </c>
      <c r="G140" s="65" t="s">
        <v>163</v>
      </c>
      <c r="H140" s="66">
        <v>45907</v>
      </c>
      <c r="I140" s="65" t="s">
        <v>6</v>
      </c>
      <c r="J140" s="66">
        <v>45878</v>
      </c>
      <c r="K140" s="65" t="s">
        <v>155</v>
      </c>
      <c r="L140" s="65"/>
      <c r="M140" s="65"/>
      <c r="N140" s="65"/>
      <c r="O140" s="65"/>
      <c r="P140" s="65"/>
      <c r="Q140" s="65"/>
      <c r="R140" s="100"/>
      <c r="S140" s="138"/>
      <c r="T140" s="145"/>
      <c r="U140" s="151"/>
      <c r="V140" s="120"/>
      <c r="W140" s="115"/>
      <c r="X140" s="109"/>
      <c r="Y140" s="127"/>
      <c r="Z140" s="65"/>
      <c r="AA140" s="65"/>
      <c r="AB140" s="65"/>
      <c r="AC140" s="65"/>
      <c r="AD140" s="65"/>
      <c r="AE140" s="65"/>
      <c r="AF140" s="65"/>
    </row>
    <row r="141" spans="2:32" ht="19.5" x14ac:dyDescent="0.4">
      <c r="B141" s="64" t="s">
        <v>408</v>
      </c>
      <c r="C141" s="65" t="s">
        <v>476</v>
      </c>
      <c r="D141" s="65"/>
      <c r="E141" s="65" t="s">
        <v>532</v>
      </c>
      <c r="F141" s="65" t="s">
        <v>106</v>
      </c>
      <c r="G141" s="65" t="s">
        <v>160</v>
      </c>
      <c r="H141" s="66">
        <v>45727</v>
      </c>
      <c r="I141" s="65" t="s">
        <v>157</v>
      </c>
      <c r="J141" s="65"/>
      <c r="K141" s="65" t="s">
        <v>279</v>
      </c>
      <c r="L141" s="65"/>
      <c r="M141" s="65"/>
      <c r="N141" s="65"/>
      <c r="O141" s="65"/>
      <c r="P141" s="65"/>
      <c r="Q141" s="65"/>
      <c r="R141" s="100"/>
      <c r="S141" s="138"/>
      <c r="T141" s="145"/>
      <c r="U141" s="151"/>
      <c r="V141" s="120"/>
      <c r="W141" s="115"/>
      <c r="X141" s="109"/>
      <c r="Y141" s="127"/>
      <c r="Z141" s="65"/>
      <c r="AA141" s="65"/>
      <c r="AB141" s="65"/>
      <c r="AC141" s="65"/>
      <c r="AD141" s="65"/>
      <c r="AE141" s="65"/>
      <c r="AF141" s="65"/>
    </row>
    <row r="142" spans="2:32" s="106" customFormat="1" ht="19.5" x14ac:dyDescent="0.4">
      <c r="B142" s="104" t="s">
        <v>409</v>
      </c>
      <c r="C142" s="68" t="s">
        <v>770</v>
      </c>
      <c r="D142" s="68" t="s">
        <v>771</v>
      </c>
      <c r="E142" s="68" t="s">
        <v>599</v>
      </c>
      <c r="F142" s="68" t="s">
        <v>106</v>
      </c>
      <c r="G142" s="68" t="s">
        <v>107</v>
      </c>
      <c r="H142" s="69">
        <v>45727</v>
      </c>
      <c r="I142" s="68" t="s">
        <v>6</v>
      </c>
      <c r="J142" s="69">
        <v>46296</v>
      </c>
      <c r="K142" s="68" t="s">
        <v>155</v>
      </c>
      <c r="L142" s="68"/>
      <c r="M142" s="68"/>
      <c r="N142" s="68"/>
      <c r="O142" s="68"/>
      <c r="P142" s="68"/>
      <c r="Q142" s="68"/>
      <c r="R142" s="100"/>
      <c r="S142" s="139"/>
      <c r="T142" s="145"/>
      <c r="U142" s="151"/>
      <c r="V142" s="111"/>
      <c r="W142" s="115"/>
      <c r="X142" s="111"/>
      <c r="Y142" s="127"/>
      <c r="Z142" s="68"/>
      <c r="AA142" s="68"/>
      <c r="AB142" s="68"/>
      <c r="AC142" s="68"/>
      <c r="AD142" s="68"/>
      <c r="AE142" s="68"/>
      <c r="AF142" s="68"/>
    </row>
    <row r="143" spans="2:32" s="58" customFormat="1" ht="19.5" x14ac:dyDescent="0.4">
      <c r="B143" s="104" t="s">
        <v>410</v>
      </c>
      <c r="C143" s="68" t="s">
        <v>768</v>
      </c>
      <c r="D143" s="68" t="s">
        <v>769</v>
      </c>
      <c r="E143" s="68" t="s">
        <v>545</v>
      </c>
      <c r="F143" s="68" t="s">
        <v>106</v>
      </c>
      <c r="G143" s="68" t="s">
        <v>107</v>
      </c>
      <c r="H143" s="69">
        <v>45727</v>
      </c>
      <c r="I143" s="68" t="s">
        <v>159</v>
      </c>
      <c r="J143" s="68"/>
      <c r="K143" s="68" t="s">
        <v>290</v>
      </c>
      <c r="L143" s="68"/>
      <c r="M143" s="68"/>
      <c r="N143" s="68"/>
      <c r="O143" s="68"/>
      <c r="P143" s="68"/>
      <c r="Q143" s="68"/>
      <c r="R143" s="100"/>
      <c r="S143" s="139"/>
      <c r="T143" s="145"/>
      <c r="U143" s="151"/>
      <c r="V143" s="122"/>
      <c r="W143" s="115"/>
      <c r="X143" s="109"/>
      <c r="Y143" s="127"/>
      <c r="Z143" s="100"/>
      <c r="AA143" s="100"/>
      <c r="AB143" s="100"/>
      <c r="AC143" s="100"/>
      <c r="AD143" s="100"/>
      <c r="AE143" s="100"/>
      <c r="AF143" s="100"/>
    </row>
    <row r="144" spans="2:32" ht="19.5" x14ac:dyDescent="0.4">
      <c r="B144" s="64" t="s">
        <v>411</v>
      </c>
      <c r="C144" s="65" t="s">
        <v>484</v>
      </c>
      <c r="D144" s="65"/>
      <c r="E144" s="65"/>
      <c r="F144" s="65" t="s">
        <v>106</v>
      </c>
      <c r="G144" s="65" t="s">
        <v>107</v>
      </c>
      <c r="H144" s="66">
        <v>45788</v>
      </c>
      <c r="I144" s="65" t="s">
        <v>159</v>
      </c>
      <c r="J144" s="65"/>
      <c r="K144" s="65" t="s">
        <v>279</v>
      </c>
      <c r="L144" s="65"/>
      <c r="M144" s="132">
        <v>1000</v>
      </c>
      <c r="N144" s="65"/>
      <c r="O144" s="65"/>
      <c r="P144" s="132">
        <v>5000</v>
      </c>
      <c r="Q144" s="65"/>
      <c r="R144" s="134"/>
      <c r="S144" s="138"/>
      <c r="T144" s="145"/>
      <c r="U144" s="151"/>
      <c r="V144" s="120"/>
      <c r="W144" s="115"/>
      <c r="X144" s="109"/>
      <c r="Y144" s="127"/>
      <c r="Z144" s="65"/>
      <c r="AA144" s="65"/>
      <c r="AB144" s="65"/>
      <c r="AC144" s="65"/>
      <c r="AD144" s="65"/>
      <c r="AE144" s="65"/>
      <c r="AF144" s="65"/>
    </row>
    <row r="145" spans="2:32" ht="19.5" x14ac:dyDescent="0.4">
      <c r="B145" s="64" t="s">
        <v>412</v>
      </c>
      <c r="C145" s="65" t="s">
        <v>497</v>
      </c>
      <c r="D145" s="65" t="s">
        <v>644</v>
      </c>
      <c r="E145" s="65" t="s">
        <v>645</v>
      </c>
      <c r="F145" s="65" t="s">
        <v>106</v>
      </c>
      <c r="G145" s="65" t="s">
        <v>160</v>
      </c>
      <c r="H145" s="66">
        <v>45727</v>
      </c>
      <c r="I145" s="65" t="s">
        <v>6</v>
      </c>
      <c r="J145" s="66">
        <v>45759</v>
      </c>
      <c r="K145" s="65" t="s">
        <v>155</v>
      </c>
      <c r="L145" s="65"/>
      <c r="M145" s="65"/>
      <c r="N145" s="65"/>
      <c r="O145" s="65"/>
      <c r="P145" s="65"/>
      <c r="Q145" s="65"/>
      <c r="R145" s="100"/>
      <c r="S145" s="138"/>
      <c r="T145" s="145"/>
      <c r="U145" s="151"/>
      <c r="V145" s="120"/>
      <c r="W145" s="115"/>
      <c r="X145" s="109"/>
      <c r="Y145" s="127"/>
      <c r="Z145" s="65"/>
      <c r="AA145" s="65"/>
      <c r="AB145" s="65"/>
      <c r="AC145" s="65"/>
      <c r="AD145" s="65"/>
      <c r="AE145" s="65"/>
      <c r="AF145" s="65"/>
    </row>
    <row r="146" spans="2:32" ht="19.5" x14ac:dyDescent="0.4">
      <c r="B146" s="64" t="s">
        <v>413</v>
      </c>
      <c r="C146" s="65" t="s">
        <v>506</v>
      </c>
      <c r="D146" s="65" t="s">
        <v>663</v>
      </c>
      <c r="E146" s="65"/>
      <c r="F146" s="65" t="s">
        <v>106</v>
      </c>
      <c r="G146" s="65" t="s">
        <v>163</v>
      </c>
      <c r="H146" s="65" t="s">
        <v>46</v>
      </c>
      <c r="I146" s="65" t="s">
        <v>6</v>
      </c>
      <c r="J146" s="65" t="s">
        <v>507</v>
      </c>
      <c r="K146" s="65" t="s">
        <v>155</v>
      </c>
      <c r="L146" s="65"/>
      <c r="M146" s="65"/>
      <c r="N146" s="65"/>
      <c r="O146" s="65"/>
      <c r="P146" s="65"/>
      <c r="Q146" s="65"/>
      <c r="R146" s="100"/>
      <c r="S146" s="138"/>
      <c r="T146" s="145"/>
      <c r="U146" s="151"/>
      <c r="V146" s="120"/>
      <c r="W146" s="115"/>
      <c r="X146" s="109"/>
      <c r="Y146" s="127"/>
      <c r="Z146" s="65"/>
      <c r="AA146" s="65"/>
      <c r="AB146" s="65"/>
      <c r="AC146" s="65"/>
      <c r="AD146" s="65"/>
      <c r="AE146" s="65"/>
      <c r="AF146" s="65"/>
    </row>
    <row r="147" spans="2:32" ht="19.5" x14ac:dyDescent="0.4">
      <c r="B147" s="64" t="s">
        <v>414</v>
      </c>
      <c r="C147" s="65" t="s">
        <v>512</v>
      </c>
      <c r="D147" s="65" t="s">
        <v>681</v>
      </c>
      <c r="E147" s="65" t="s">
        <v>680</v>
      </c>
      <c r="F147" s="65" t="s">
        <v>106</v>
      </c>
      <c r="G147" s="65" t="s">
        <v>220</v>
      </c>
      <c r="H147" s="66">
        <v>46055</v>
      </c>
      <c r="I147" s="65" t="s">
        <v>6</v>
      </c>
      <c r="J147" s="65"/>
      <c r="K147" s="65" t="s">
        <v>279</v>
      </c>
      <c r="L147" s="65"/>
      <c r="M147" s="65"/>
      <c r="N147" s="65"/>
      <c r="O147" s="65"/>
      <c r="P147" s="65"/>
      <c r="Q147" s="65"/>
      <c r="R147" s="100"/>
      <c r="S147" s="138"/>
      <c r="T147" s="145"/>
      <c r="U147" s="151"/>
      <c r="V147" s="120"/>
      <c r="W147" s="115"/>
      <c r="X147" s="109"/>
      <c r="Y147" s="127"/>
      <c r="Z147" s="65"/>
      <c r="AA147" s="65"/>
      <c r="AB147" s="65"/>
      <c r="AC147" s="65"/>
      <c r="AD147" s="65"/>
      <c r="AE147" s="65"/>
      <c r="AF147" s="65"/>
    </row>
    <row r="148" spans="2:32" ht="19.5" x14ac:dyDescent="0.4">
      <c r="B148" s="64" t="s">
        <v>415</v>
      </c>
      <c r="C148" s="65" t="s">
        <v>514</v>
      </c>
      <c r="D148" s="65" t="s">
        <v>640</v>
      </c>
      <c r="E148" s="65"/>
      <c r="F148" s="65" t="s">
        <v>106</v>
      </c>
      <c r="G148" s="65" t="s">
        <v>163</v>
      </c>
      <c r="H148" s="65" t="s">
        <v>477</v>
      </c>
      <c r="I148" s="65" t="s">
        <v>159</v>
      </c>
      <c r="J148" s="65"/>
      <c r="K148" s="65" t="s">
        <v>279</v>
      </c>
      <c r="L148" s="65"/>
      <c r="M148" s="65"/>
      <c r="N148" s="65"/>
      <c r="O148" s="65"/>
      <c r="P148" s="65"/>
      <c r="Q148" s="65"/>
      <c r="R148" s="100"/>
      <c r="S148" s="138"/>
      <c r="T148" s="145"/>
      <c r="U148" s="151"/>
      <c r="V148" s="120"/>
      <c r="W148" s="115"/>
      <c r="X148" s="109"/>
      <c r="Y148" s="127"/>
      <c r="Z148" s="65"/>
      <c r="AA148" s="65"/>
      <c r="AB148" s="65"/>
      <c r="AC148" s="65"/>
      <c r="AD148" s="65"/>
      <c r="AE148" s="65"/>
      <c r="AF148" s="65"/>
    </row>
    <row r="149" spans="2:32" ht="19.5" x14ac:dyDescent="0.4">
      <c r="B149" s="64" t="s">
        <v>416</v>
      </c>
      <c r="C149" s="65" t="s">
        <v>515</v>
      </c>
      <c r="D149" s="65" t="s">
        <v>567</v>
      </c>
      <c r="E149" s="65" t="s">
        <v>532</v>
      </c>
      <c r="F149" s="65" t="s">
        <v>106</v>
      </c>
      <c r="G149" s="65" t="s">
        <v>163</v>
      </c>
      <c r="H149" s="66">
        <v>46357</v>
      </c>
      <c r="I149" s="65" t="s">
        <v>159</v>
      </c>
      <c r="J149" s="65"/>
      <c r="K149" s="65" t="s">
        <v>279</v>
      </c>
      <c r="L149" s="65"/>
      <c r="M149" s="65"/>
      <c r="N149" s="65"/>
      <c r="O149" s="65"/>
      <c r="P149" s="65"/>
      <c r="Q149" s="65"/>
      <c r="R149" s="100"/>
      <c r="S149" s="138"/>
      <c r="T149" s="146">
        <v>3000</v>
      </c>
      <c r="U149" s="151"/>
      <c r="V149" s="120"/>
      <c r="W149" s="115"/>
      <c r="X149" s="109"/>
      <c r="Y149" s="127"/>
      <c r="Z149" s="65"/>
      <c r="AA149" s="65"/>
      <c r="AB149" s="65"/>
      <c r="AC149" s="65"/>
      <c r="AD149" s="65"/>
      <c r="AE149" s="65"/>
      <c r="AF149" s="65"/>
    </row>
    <row r="150" spans="2:32" ht="19.5" x14ac:dyDescent="0.4">
      <c r="B150" s="64" t="s">
        <v>417</v>
      </c>
      <c r="C150" s="65" t="s">
        <v>679</v>
      </c>
      <c r="D150" s="65" t="s">
        <v>534</v>
      </c>
      <c r="E150" s="65" t="s">
        <v>533</v>
      </c>
      <c r="F150" s="65" t="s">
        <v>106</v>
      </c>
      <c r="G150" s="65" t="s">
        <v>220</v>
      </c>
      <c r="H150" s="65" t="s">
        <v>516</v>
      </c>
      <c r="I150" s="65" t="s">
        <v>159</v>
      </c>
      <c r="J150" s="65"/>
      <c r="K150" s="65" t="s">
        <v>290</v>
      </c>
      <c r="L150" s="65"/>
      <c r="M150" s="65"/>
      <c r="N150" s="65"/>
      <c r="O150" s="65"/>
      <c r="P150" s="65"/>
      <c r="Q150" s="65"/>
      <c r="R150" s="100"/>
      <c r="S150" s="138"/>
      <c r="T150" s="145"/>
      <c r="U150" s="151"/>
      <c r="V150" s="120"/>
      <c r="W150" s="115"/>
      <c r="X150" s="110">
        <v>2500</v>
      </c>
      <c r="Y150" s="127"/>
      <c r="Z150" s="65"/>
      <c r="AA150" s="65"/>
      <c r="AB150" s="65"/>
      <c r="AC150" s="65"/>
      <c r="AD150" s="65"/>
      <c r="AE150" s="65"/>
      <c r="AF150" s="65"/>
    </row>
    <row r="151" spans="2:32" ht="19.5" x14ac:dyDescent="0.4">
      <c r="B151" s="64" t="s">
        <v>418</v>
      </c>
      <c r="C151" s="65" t="s">
        <v>517</v>
      </c>
      <c r="D151" s="65" t="s">
        <v>525</v>
      </c>
      <c r="E151" s="65" t="s">
        <v>532</v>
      </c>
      <c r="F151" s="65" t="s">
        <v>106</v>
      </c>
      <c r="G151" s="65" t="s">
        <v>163</v>
      </c>
      <c r="H151" s="66">
        <v>46117</v>
      </c>
      <c r="I151" s="65" t="s">
        <v>6</v>
      </c>
      <c r="J151" s="65"/>
      <c r="K151" s="65" t="s">
        <v>279</v>
      </c>
      <c r="L151" s="65"/>
      <c r="M151" s="65"/>
      <c r="N151" s="65"/>
      <c r="O151" s="65"/>
      <c r="P151" s="65"/>
      <c r="Q151" s="65"/>
      <c r="R151" s="100"/>
      <c r="S151" s="138"/>
      <c r="T151" s="145"/>
      <c r="U151" s="151"/>
      <c r="V151" s="120"/>
      <c r="W151" s="115"/>
      <c r="X151" s="110">
        <v>9000</v>
      </c>
      <c r="Y151" s="127"/>
      <c r="Z151" s="65"/>
      <c r="AA151" s="65"/>
      <c r="AB151" s="65"/>
      <c r="AC151" s="65"/>
      <c r="AD151" s="65"/>
      <c r="AE151" s="65"/>
      <c r="AF151" s="65"/>
    </row>
    <row r="152" spans="2:32" ht="19.5" x14ac:dyDescent="0.4">
      <c r="B152" s="64" t="s">
        <v>419</v>
      </c>
      <c r="C152" s="65" t="s">
        <v>518</v>
      </c>
      <c r="D152" s="65" t="s">
        <v>524</v>
      </c>
      <c r="E152" s="65" t="s">
        <v>532</v>
      </c>
      <c r="F152" s="65" t="s">
        <v>106</v>
      </c>
      <c r="G152" s="65" t="s">
        <v>163</v>
      </c>
      <c r="H152" s="66">
        <v>46147</v>
      </c>
      <c r="I152" s="65" t="s">
        <v>6</v>
      </c>
      <c r="J152" s="65"/>
      <c r="K152" s="65" t="s">
        <v>279</v>
      </c>
      <c r="L152" s="65"/>
      <c r="M152" s="65"/>
      <c r="N152" s="65"/>
      <c r="O152" s="65"/>
      <c r="P152" s="65"/>
      <c r="Q152" s="65"/>
      <c r="R152" s="100"/>
      <c r="S152" s="138"/>
      <c r="T152" s="145"/>
      <c r="U152" s="151"/>
      <c r="V152" s="120"/>
      <c r="W152" s="115"/>
      <c r="X152" s="110">
        <v>10500</v>
      </c>
      <c r="Y152" s="127"/>
      <c r="Z152" s="65"/>
      <c r="AA152" s="65"/>
      <c r="AB152" s="65"/>
      <c r="AC152" s="65"/>
      <c r="AD152" s="65"/>
      <c r="AE152" s="65"/>
      <c r="AF152" s="65"/>
    </row>
    <row r="153" spans="2:32" ht="19.5" x14ac:dyDescent="0.4">
      <c r="B153" s="64" t="s">
        <v>420</v>
      </c>
      <c r="C153" s="65" t="s">
        <v>520</v>
      </c>
      <c r="D153" s="65" t="s">
        <v>638</v>
      </c>
      <c r="E153" s="65" t="s">
        <v>532</v>
      </c>
      <c r="F153" s="65" t="s">
        <v>106</v>
      </c>
      <c r="G153" s="65" t="s">
        <v>163</v>
      </c>
      <c r="H153" s="66">
        <v>46147</v>
      </c>
      <c r="I153" s="65" t="s">
        <v>6</v>
      </c>
      <c r="J153" s="65"/>
      <c r="K153" s="65" t="s">
        <v>279</v>
      </c>
      <c r="L153" s="65"/>
      <c r="M153" s="65"/>
      <c r="N153" s="65"/>
      <c r="O153" s="65"/>
      <c r="P153" s="65"/>
      <c r="Q153" s="65"/>
      <c r="R153" s="100"/>
      <c r="S153" s="138"/>
      <c r="T153" s="145"/>
      <c r="U153" s="151"/>
      <c r="V153" s="120"/>
      <c r="W153" s="115"/>
      <c r="X153" s="110">
        <v>11000</v>
      </c>
      <c r="Y153" s="127"/>
      <c r="Z153" s="65"/>
      <c r="AA153" s="65"/>
      <c r="AB153" s="65"/>
      <c r="AC153" s="65"/>
      <c r="AD153" s="65"/>
      <c r="AE153" s="65"/>
      <c r="AF153" s="65"/>
    </row>
    <row r="154" spans="2:32" ht="19.5" x14ac:dyDescent="0.4">
      <c r="B154" s="64" t="s">
        <v>421</v>
      </c>
      <c r="C154" s="65" t="s">
        <v>519</v>
      </c>
      <c r="D154" s="65" t="s">
        <v>523</v>
      </c>
      <c r="E154" s="65" t="s">
        <v>532</v>
      </c>
      <c r="F154" s="65" t="s">
        <v>106</v>
      </c>
      <c r="G154" s="65" t="s">
        <v>163</v>
      </c>
      <c r="H154" s="66">
        <v>46178</v>
      </c>
      <c r="I154" s="65" t="s">
        <v>6</v>
      </c>
      <c r="J154" s="65"/>
      <c r="K154" s="65" t="s">
        <v>279</v>
      </c>
      <c r="L154" s="65"/>
      <c r="M154" s="65"/>
      <c r="N154" s="65"/>
      <c r="O154" s="65"/>
      <c r="P154" s="65"/>
      <c r="Q154" s="65"/>
      <c r="R154" s="100"/>
      <c r="S154" s="138"/>
      <c r="T154" s="145"/>
      <c r="U154" s="151"/>
      <c r="V154" s="120"/>
      <c r="W154" s="115"/>
      <c r="X154" s="110">
        <v>8500</v>
      </c>
      <c r="Y154" s="127"/>
      <c r="Z154" s="65"/>
      <c r="AA154" s="65"/>
      <c r="AB154" s="65"/>
      <c r="AC154" s="65"/>
      <c r="AD154" s="65"/>
      <c r="AE154" s="65"/>
      <c r="AF154" s="65"/>
    </row>
    <row r="155" spans="2:32" ht="19.5" x14ac:dyDescent="0.4">
      <c r="B155" s="64" t="s">
        <v>422</v>
      </c>
      <c r="C155" s="65" t="s">
        <v>522</v>
      </c>
      <c r="D155" s="65" t="s">
        <v>639</v>
      </c>
      <c r="E155" s="65" t="s">
        <v>532</v>
      </c>
      <c r="F155" s="65" t="s">
        <v>106</v>
      </c>
      <c r="G155" s="65" t="s">
        <v>107</v>
      </c>
      <c r="H155" s="66">
        <v>46331</v>
      </c>
      <c r="I155" s="65" t="s">
        <v>6</v>
      </c>
      <c r="J155" s="65"/>
      <c r="K155" s="65" t="s">
        <v>279</v>
      </c>
      <c r="L155" s="65"/>
      <c r="M155" s="65"/>
      <c r="N155" s="65"/>
      <c r="O155" s="65"/>
      <c r="P155" s="65"/>
      <c r="Q155" s="65"/>
      <c r="R155" s="100"/>
      <c r="S155" s="138"/>
      <c r="T155" s="145"/>
      <c r="U155" s="151"/>
      <c r="V155" s="120"/>
      <c r="W155" s="115"/>
      <c r="X155" s="110">
        <v>6000</v>
      </c>
      <c r="Y155" s="127"/>
      <c r="Z155" s="65"/>
      <c r="AA155" s="65"/>
      <c r="AB155" s="65"/>
      <c r="AC155" s="65"/>
      <c r="AD155" s="65"/>
      <c r="AE155" s="65"/>
      <c r="AF155" s="65"/>
    </row>
    <row r="156" spans="2:32" ht="19.5" x14ac:dyDescent="0.4">
      <c r="B156" s="64" t="s">
        <v>423</v>
      </c>
      <c r="C156" s="65" t="s">
        <v>633</v>
      </c>
      <c r="D156" s="65" t="s">
        <v>635</v>
      </c>
      <c r="E156" s="65" t="s">
        <v>636</v>
      </c>
      <c r="F156" s="65" t="s">
        <v>106</v>
      </c>
      <c r="G156" s="65" t="s">
        <v>107</v>
      </c>
      <c r="H156" s="66">
        <v>46331</v>
      </c>
      <c r="I156" s="65" t="s">
        <v>6</v>
      </c>
      <c r="J156" s="65"/>
      <c r="K156" s="65" t="s">
        <v>279</v>
      </c>
      <c r="L156" s="65"/>
      <c r="M156" s="65"/>
      <c r="N156" s="65"/>
      <c r="O156" s="65"/>
      <c r="P156" s="65"/>
      <c r="Q156" s="65"/>
      <c r="R156" s="100"/>
      <c r="S156" s="138"/>
      <c r="T156" s="145"/>
      <c r="U156" s="151"/>
      <c r="V156" s="120"/>
      <c r="W156" s="115"/>
      <c r="X156" s="110">
        <v>6000</v>
      </c>
      <c r="Y156" s="127"/>
      <c r="Z156" s="65"/>
      <c r="AA156" s="65"/>
      <c r="AB156" s="65"/>
      <c r="AC156" s="65"/>
      <c r="AD156" s="65"/>
      <c r="AE156" s="65"/>
      <c r="AF156" s="65"/>
    </row>
    <row r="157" spans="2:32" ht="19.5" x14ac:dyDescent="0.4">
      <c r="B157" s="64" t="s">
        <v>424</v>
      </c>
      <c r="C157" s="65" t="s">
        <v>634</v>
      </c>
      <c r="D157" s="65" t="s">
        <v>637</v>
      </c>
      <c r="E157" s="65" t="s">
        <v>532</v>
      </c>
      <c r="F157" s="65" t="s">
        <v>106</v>
      </c>
      <c r="G157" s="65" t="s">
        <v>107</v>
      </c>
      <c r="H157" s="66">
        <v>46331</v>
      </c>
      <c r="I157" s="65" t="s">
        <v>6</v>
      </c>
      <c r="J157" s="65"/>
      <c r="K157" s="65" t="s">
        <v>279</v>
      </c>
      <c r="L157" s="65"/>
      <c r="M157" s="65"/>
      <c r="N157" s="65"/>
      <c r="O157" s="65"/>
      <c r="P157" s="65"/>
      <c r="Q157" s="65"/>
      <c r="R157" s="100"/>
      <c r="S157" s="138"/>
      <c r="T157" s="145"/>
      <c r="U157" s="151"/>
      <c r="V157" s="120"/>
      <c r="W157" s="115"/>
      <c r="X157" s="110">
        <v>4800</v>
      </c>
      <c r="Y157" s="127"/>
      <c r="Z157" s="65"/>
      <c r="AA157" s="65"/>
      <c r="AB157" s="65"/>
      <c r="AC157" s="65"/>
      <c r="AD157" s="65"/>
      <c r="AE157" s="65"/>
      <c r="AF157" s="65"/>
    </row>
    <row r="158" spans="2:32" ht="19.5" x14ac:dyDescent="0.4">
      <c r="B158" s="64" t="s">
        <v>425</v>
      </c>
      <c r="C158" s="65" t="s">
        <v>671</v>
      </c>
      <c r="D158" s="65" t="s">
        <v>672</v>
      </c>
      <c r="E158" s="65" t="s">
        <v>675</v>
      </c>
      <c r="F158" s="65" t="s">
        <v>106</v>
      </c>
      <c r="G158" s="65" t="s">
        <v>107</v>
      </c>
      <c r="H158" s="66">
        <v>46331</v>
      </c>
      <c r="I158" s="65" t="s">
        <v>6</v>
      </c>
      <c r="J158" s="65"/>
      <c r="K158" s="65" t="s">
        <v>279</v>
      </c>
      <c r="L158" s="65"/>
      <c r="M158" s="65"/>
      <c r="N158" s="65"/>
      <c r="O158" s="65"/>
      <c r="P158" s="65"/>
      <c r="Q158" s="65"/>
      <c r="R158" s="100"/>
      <c r="S158" s="138"/>
      <c r="T158" s="145"/>
      <c r="U158" s="151"/>
      <c r="V158" s="120"/>
      <c r="W158" s="115"/>
      <c r="X158" s="110">
        <v>6000</v>
      </c>
      <c r="Y158" s="127"/>
      <c r="Z158" s="65"/>
      <c r="AA158" s="65"/>
      <c r="AB158" s="65"/>
      <c r="AC158" s="65"/>
      <c r="AD158" s="65"/>
      <c r="AE158" s="65"/>
      <c r="AF158" s="65"/>
    </row>
    <row r="159" spans="2:32" ht="19.5" x14ac:dyDescent="0.4">
      <c r="B159" s="64" t="s">
        <v>426</v>
      </c>
      <c r="C159" s="65" t="s">
        <v>677</v>
      </c>
      <c r="D159" s="65" t="s">
        <v>678</v>
      </c>
      <c r="E159" s="65" t="s">
        <v>676</v>
      </c>
      <c r="F159" s="65" t="s">
        <v>106</v>
      </c>
      <c r="G159" s="65" t="s">
        <v>107</v>
      </c>
      <c r="H159" s="66">
        <v>46331</v>
      </c>
      <c r="I159" s="65" t="s">
        <v>6</v>
      </c>
      <c r="J159" s="65"/>
      <c r="K159" s="65" t="s">
        <v>279</v>
      </c>
      <c r="L159" s="65"/>
      <c r="M159" s="65"/>
      <c r="N159" s="65"/>
      <c r="O159" s="65"/>
      <c r="P159" s="65"/>
      <c r="Q159" s="65"/>
      <c r="R159" s="100"/>
      <c r="S159" s="138"/>
      <c r="T159" s="145"/>
      <c r="U159" s="151"/>
      <c r="V159" s="120"/>
      <c r="W159" s="115"/>
      <c r="X159" s="109"/>
      <c r="Y159" s="127"/>
      <c r="Z159" s="65"/>
      <c r="AA159" s="65"/>
      <c r="AB159" s="65"/>
      <c r="AC159" s="65"/>
      <c r="AD159" s="65"/>
      <c r="AE159" s="65"/>
      <c r="AF159" s="65"/>
    </row>
    <row r="160" spans="2:32" ht="19.5" x14ac:dyDescent="0.4">
      <c r="B160" s="64" t="s">
        <v>427</v>
      </c>
      <c r="C160" s="65" t="s">
        <v>673</v>
      </c>
      <c r="D160" s="65" t="s">
        <v>674</v>
      </c>
      <c r="E160" s="65" t="s">
        <v>532</v>
      </c>
      <c r="F160" s="65" t="s">
        <v>106</v>
      </c>
      <c r="G160" s="65" t="s">
        <v>107</v>
      </c>
      <c r="H160" s="66">
        <v>46331</v>
      </c>
      <c r="I160" s="65" t="s">
        <v>6</v>
      </c>
      <c r="J160" s="65"/>
      <c r="K160" s="65" t="s">
        <v>279</v>
      </c>
      <c r="L160" s="65"/>
      <c r="M160" s="65"/>
      <c r="N160" s="65"/>
      <c r="O160" s="65"/>
      <c r="P160" s="65"/>
      <c r="Q160" s="65"/>
      <c r="R160" s="100"/>
      <c r="S160" s="138"/>
      <c r="T160" s="145"/>
      <c r="U160" s="151"/>
      <c r="V160" s="120"/>
      <c r="W160" s="115"/>
      <c r="X160" s="109"/>
      <c r="Y160" s="127"/>
      <c r="Z160" s="65"/>
      <c r="AA160" s="65"/>
      <c r="AB160" s="65"/>
      <c r="AC160" s="65"/>
      <c r="AD160" s="65"/>
      <c r="AE160" s="65"/>
      <c r="AF160" s="65"/>
    </row>
    <row r="161" spans="2:32" ht="19.5" x14ac:dyDescent="0.4">
      <c r="B161" s="104" t="s">
        <v>428</v>
      </c>
      <c r="C161" s="105" t="s">
        <v>720</v>
      </c>
      <c r="D161" s="65" t="s">
        <v>730</v>
      </c>
      <c r="E161" s="65" t="s">
        <v>648</v>
      </c>
      <c r="F161" s="65" t="s">
        <v>106</v>
      </c>
      <c r="G161" s="65" t="s">
        <v>107</v>
      </c>
      <c r="H161" s="65"/>
      <c r="I161" s="65" t="s">
        <v>6</v>
      </c>
      <c r="J161" s="65"/>
      <c r="K161" s="65" t="s">
        <v>279</v>
      </c>
      <c r="L161" s="65"/>
      <c r="M161" s="65"/>
      <c r="N161" s="65"/>
      <c r="O161" s="65"/>
      <c r="P161" s="65"/>
      <c r="Q161" s="65"/>
      <c r="R161" s="100"/>
      <c r="S161" s="138"/>
      <c r="T161" s="145"/>
      <c r="U161" s="151"/>
      <c r="V161" s="120"/>
      <c r="W161" s="115"/>
      <c r="X161" s="110">
        <v>5500</v>
      </c>
      <c r="Y161" s="127"/>
      <c r="Z161" s="65"/>
      <c r="AA161" s="65"/>
      <c r="AB161" s="65"/>
      <c r="AC161" s="65"/>
      <c r="AD161" s="65"/>
      <c r="AE161" s="65"/>
      <c r="AF161" s="65"/>
    </row>
    <row r="162" spans="2:32" ht="19.5" x14ac:dyDescent="0.4">
      <c r="B162" s="104" t="s">
        <v>429</v>
      </c>
      <c r="C162" s="105" t="s">
        <v>721</v>
      </c>
      <c r="D162" s="65" t="s">
        <v>722</v>
      </c>
      <c r="E162" s="65" t="s">
        <v>571</v>
      </c>
      <c r="F162" s="65" t="s">
        <v>106</v>
      </c>
      <c r="G162" s="65" t="s">
        <v>160</v>
      </c>
      <c r="H162" s="65"/>
      <c r="I162" s="65" t="s">
        <v>6</v>
      </c>
      <c r="J162" s="65"/>
      <c r="K162" s="65" t="s">
        <v>279</v>
      </c>
      <c r="L162" s="65"/>
      <c r="M162" s="65"/>
      <c r="N162" s="65"/>
      <c r="O162" s="65"/>
      <c r="P162" s="65"/>
      <c r="Q162" s="65"/>
      <c r="R162" s="100"/>
      <c r="S162" s="138"/>
      <c r="T162" s="145"/>
      <c r="U162" s="151"/>
      <c r="V162" s="120"/>
      <c r="W162" s="115"/>
      <c r="X162" s="110">
        <v>12000</v>
      </c>
      <c r="Y162" s="127"/>
      <c r="Z162" s="65"/>
      <c r="AA162" s="65"/>
      <c r="AB162" s="65"/>
      <c r="AC162" s="65"/>
      <c r="AD162" s="65"/>
      <c r="AE162" s="65"/>
      <c r="AF162" s="65"/>
    </row>
    <row r="163" spans="2:32" ht="19.5" x14ac:dyDescent="0.4">
      <c r="B163" s="64" t="s">
        <v>430</v>
      </c>
      <c r="C163" s="105" t="str">
        <f>ONLINE!B6</f>
        <v>MITCHEL NJERI</v>
      </c>
      <c r="D163" s="65"/>
      <c r="E163" s="65"/>
      <c r="F163" s="65"/>
      <c r="G163" s="65"/>
      <c r="H163" s="65"/>
      <c r="I163" s="65"/>
      <c r="J163" s="65"/>
      <c r="K163" s="65" t="s">
        <v>220</v>
      </c>
      <c r="L163" s="65"/>
      <c r="M163" s="65"/>
      <c r="N163" s="65"/>
      <c r="O163" s="65"/>
      <c r="P163" s="65"/>
      <c r="Q163" s="65"/>
      <c r="R163" s="100"/>
      <c r="S163" s="138"/>
      <c r="T163" s="145"/>
      <c r="U163" s="151"/>
      <c r="V163" s="120"/>
      <c r="W163" s="115"/>
      <c r="X163" s="109"/>
      <c r="Y163" s="127"/>
      <c r="Z163" s="65"/>
      <c r="AA163" s="65"/>
      <c r="AB163" s="65"/>
      <c r="AC163" s="65"/>
      <c r="AD163" s="65"/>
      <c r="AE163" s="65"/>
      <c r="AF163" s="65"/>
    </row>
    <row r="164" spans="2:32" ht="19.5" x14ac:dyDescent="0.4">
      <c r="B164" s="64" t="s">
        <v>431</v>
      </c>
      <c r="C164" s="105" t="str">
        <f>ONLINE!B7</f>
        <v>BELINDA LUTUKAYI</v>
      </c>
      <c r="D164" s="65"/>
      <c r="E164" s="65"/>
      <c r="F164" s="65"/>
      <c r="G164" s="65"/>
      <c r="H164" s="65"/>
      <c r="I164" s="65"/>
      <c r="J164" s="65"/>
      <c r="K164" s="65" t="s">
        <v>220</v>
      </c>
      <c r="L164" s="65"/>
      <c r="M164" s="65"/>
      <c r="N164" s="65"/>
      <c r="O164" s="65"/>
      <c r="P164" s="65"/>
      <c r="Q164" s="65"/>
      <c r="R164" s="100"/>
      <c r="S164" s="138"/>
      <c r="T164" s="145"/>
      <c r="U164" s="151"/>
      <c r="V164" s="120"/>
      <c r="W164" s="115"/>
      <c r="X164" s="109"/>
      <c r="Y164" s="127"/>
      <c r="Z164" s="65"/>
      <c r="AA164" s="65"/>
      <c r="AB164" s="65"/>
      <c r="AC164" s="65"/>
      <c r="AD164" s="65"/>
      <c r="AE164" s="65"/>
      <c r="AF164" s="65"/>
    </row>
    <row r="165" spans="2:32" ht="19.5" x14ac:dyDescent="0.4">
      <c r="B165" s="64" t="s">
        <v>432</v>
      </c>
      <c r="C165" s="105" t="str">
        <f>ONLINE!B8</f>
        <v>JONH NYONGESA</v>
      </c>
      <c r="D165" s="65"/>
      <c r="E165" s="65"/>
      <c r="F165" s="65"/>
      <c r="G165" s="65"/>
      <c r="H165" s="65"/>
      <c r="I165" s="65"/>
      <c r="J165" s="65"/>
      <c r="K165" s="65" t="s">
        <v>220</v>
      </c>
      <c r="L165" s="65"/>
      <c r="M165" s="65"/>
      <c r="N165" s="65"/>
      <c r="O165" s="65"/>
      <c r="P165" s="65"/>
      <c r="Q165" s="65"/>
      <c r="R165" s="100"/>
      <c r="S165" s="138"/>
      <c r="T165" s="145"/>
      <c r="U165" s="151"/>
      <c r="V165" s="120"/>
      <c r="W165" s="115"/>
      <c r="X165" s="109"/>
      <c r="Y165" s="127"/>
      <c r="Z165" s="65"/>
      <c r="AA165" s="65"/>
      <c r="AB165" s="65"/>
      <c r="AC165" s="65"/>
      <c r="AD165" s="65"/>
      <c r="AE165" s="65"/>
      <c r="AF165" s="65"/>
    </row>
    <row r="166" spans="2:32" ht="19.5" x14ac:dyDescent="0.4">
      <c r="B166" s="64" t="s">
        <v>433</v>
      </c>
      <c r="C166" s="105" t="str">
        <f>ONLINE!B9</f>
        <v>CHRISTINE ABUNGU MPAKA</v>
      </c>
      <c r="D166" s="65" t="s">
        <v>732</v>
      </c>
      <c r="E166" s="65"/>
      <c r="F166" s="65"/>
      <c r="G166" s="65"/>
      <c r="H166" s="65"/>
      <c r="I166" s="65"/>
      <c r="J166" s="65"/>
      <c r="K166" s="65" t="s">
        <v>220</v>
      </c>
      <c r="L166" s="65"/>
      <c r="M166" s="65"/>
      <c r="N166" s="65"/>
      <c r="O166" s="65"/>
      <c r="P166" s="65"/>
      <c r="Q166" s="65"/>
      <c r="R166" s="100"/>
      <c r="S166" s="138"/>
      <c r="T166" s="145"/>
      <c r="U166" s="151"/>
      <c r="V166" s="120"/>
      <c r="W166" s="115"/>
      <c r="X166" s="109"/>
      <c r="Y166" s="127"/>
      <c r="Z166" s="65"/>
      <c r="AA166" s="65"/>
      <c r="AB166" s="65"/>
      <c r="AC166" s="65"/>
      <c r="AD166" s="65"/>
      <c r="AE166" s="65"/>
      <c r="AF166" s="65"/>
    </row>
    <row r="167" spans="2:32" ht="19.5" x14ac:dyDescent="0.4">
      <c r="B167" s="64" t="s">
        <v>434</v>
      </c>
      <c r="C167" s="105" t="str">
        <f>ONLINE!B10</f>
        <v>PURITY MONG'ARE KERUBO</v>
      </c>
      <c r="D167" s="65"/>
      <c r="E167" s="65"/>
      <c r="F167" s="65"/>
      <c r="G167" s="65"/>
      <c r="H167" s="65"/>
      <c r="I167" s="65"/>
      <c r="J167" s="65"/>
      <c r="K167" s="65" t="s">
        <v>220</v>
      </c>
      <c r="L167" s="65"/>
      <c r="M167" s="65"/>
      <c r="N167" s="65"/>
      <c r="O167" s="65"/>
      <c r="P167" s="65"/>
      <c r="Q167" s="65"/>
      <c r="R167" s="100"/>
      <c r="S167" s="138"/>
      <c r="T167" s="145"/>
      <c r="U167" s="151"/>
      <c r="V167" s="120"/>
      <c r="W167" s="115"/>
      <c r="X167" s="109"/>
      <c r="Y167" s="127"/>
      <c r="Z167" s="65"/>
      <c r="AA167" s="65"/>
      <c r="AB167" s="65"/>
      <c r="AC167" s="65"/>
      <c r="AD167" s="65"/>
      <c r="AE167" s="65"/>
      <c r="AF167" s="65"/>
    </row>
    <row r="168" spans="2:32" ht="19.5" x14ac:dyDescent="0.4">
      <c r="B168" s="64" t="s">
        <v>435</v>
      </c>
      <c r="C168" s="105" t="str">
        <f>ONLINE!B11</f>
        <v>NELLY KENDI</v>
      </c>
      <c r="D168" s="65" t="s">
        <v>733</v>
      </c>
      <c r="E168" s="65"/>
      <c r="F168" s="65"/>
      <c r="G168" s="65"/>
      <c r="H168" s="65"/>
      <c r="I168" s="65"/>
      <c r="J168" s="65"/>
      <c r="K168" s="65" t="s">
        <v>220</v>
      </c>
      <c r="L168" s="65"/>
      <c r="M168" s="65"/>
      <c r="N168" s="65"/>
      <c r="O168" s="65"/>
      <c r="P168" s="65"/>
      <c r="Q168" s="65"/>
      <c r="R168" s="100"/>
      <c r="S168" s="138"/>
      <c r="T168" s="145"/>
      <c r="U168" s="151"/>
      <c r="V168" s="120"/>
      <c r="W168" s="115"/>
      <c r="X168" s="109"/>
      <c r="Y168" s="127"/>
      <c r="Z168" s="65"/>
      <c r="AA168" s="65"/>
      <c r="AB168" s="65"/>
      <c r="AC168" s="65"/>
      <c r="AD168" s="65"/>
      <c r="AE168" s="65"/>
      <c r="AF168" s="65"/>
    </row>
    <row r="169" spans="2:32" ht="19.5" x14ac:dyDescent="0.4">
      <c r="B169" s="64" t="s">
        <v>436</v>
      </c>
      <c r="C169" s="105" t="s">
        <v>702</v>
      </c>
      <c r="D169" s="65" t="s">
        <v>734</v>
      </c>
      <c r="E169" s="65"/>
      <c r="F169" s="65"/>
      <c r="G169" s="65"/>
      <c r="H169" s="65"/>
      <c r="I169" s="65"/>
      <c r="J169" s="65"/>
      <c r="K169" s="65" t="s">
        <v>220</v>
      </c>
      <c r="L169" s="65"/>
      <c r="M169" s="65"/>
      <c r="N169" s="65"/>
      <c r="O169" s="65"/>
      <c r="P169" s="65"/>
      <c r="Q169" s="65"/>
      <c r="R169" s="100"/>
      <c r="S169" s="138"/>
      <c r="T169" s="145"/>
      <c r="U169" s="151"/>
      <c r="V169" s="120"/>
      <c r="W169" s="115"/>
      <c r="X169" s="109"/>
      <c r="Y169" s="127"/>
      <c r="Z169" s="65"/>
      <c r="AA169" s="65"/>
      <c r="AB169" s="65"/>
      <c r="AC169" s="65"/>
      <c r="AD169" s="65"/>
      <c r="AE169" s="65"/>
      <c r="AF169" s="65"/>
    </row>
    <row r="170" spans="2:32" ht="19.5" x14ac:dyDescent="0.4">
      <c r="B170" s="64" t="s">
        <v>437</v>
      </c>
      <c r="C170" s="105" t="str">
        <f>ONLINE!B13</f>
        <v>BRIAN CHANGALWA</v>
      </c>
      <c r="D170" s="65" t="s">
        <v>731</v>
      </c>
      <c r="E170" s="65" t="s">
        <v>587</v>
      </c>
      <c r="F170" s="65"/>
      <c r="G170" s="65"/>
      <c r="H170" s="65"/>
      <c r="I170" s="65"/>
      <c r="J170" s="65"/>
      <c r="K170" s="65" t="s">
        <v>220</v>
      </c>
      <c r="L170" s="65"/>
      <c r="M170" s="65"/>
      <c r="N170" s="65"/>
      <c r="O170" s="65"/>
      <c r="P170" s="65"/>
      <c r="Q170" s="65"/>
      <c r="R170" s="100"/>
      <c r="S170" s="138"/>
      <c r="T170" s="145"/>
      <c r="U170" s="151"/>
      <c r="V170" s="120"/>
      <c r="W170" s="115"/>
      <c r="X170" s="109"/>
      <c r="Y170" s="127"/>
      <c r="Z170" s="65"/>
      <c r="AA170" s="65"/>
      <c r="AB170" s="65"/>
      <c r="AC170" s="65"/>
      <c r="AD170" s="65"/>
      <c r="AE170" s="65"/>
      <c r="AF170" s="65"/>
    </row>
    <row r="171" spans="2:32" ht="19.5" x14ac:dyDescent="0.4">
      <c r="B171" s="64" t="s">
        <v>438</v>
      </c>
      <c r="C171" s="105" t="str">
        <f>ONLINE!B14</f>
        <v>JAMES LUGANU</v>
      </c>
      <c r="D171" s="65" t="s">
        <v>723</v>
      </c>
      <c r="E171" s="65"/>
      <c r="F171" s="65"/>
      <c r="G171" s="65"/>
      <c r="H171" s="65"/>
      <c r="I171" s="65"/>
      <c r="J171" s="65"/>
      <c r="K171" s="65" t="s">
        <v>220</v>
      </c>
      <c r="L171" s="65"/>
      <c r="M171" s="65"/>
      <c r="N171" s="65"/>
      <c r="O171" s="65"/>
      <c r="P171" s="65"/>
      <c r="Q171" s="65"/>
      <c r="R171" s="100"/>
      <c r="S171" s="138"/>
      <c r="T171" s="145"/>
      <c r="U171" s="151"/>
      <c r="V171" s="120"/>
      <c r="W171" s="115"/>
      <c r="X171" s="110">
        <v>6000</v>
      </c>
      <c r="Y171" s="127"/>
      <c r="Z171" s="65"/>
      <c r="AA171" s="65"/>
      <c r="AB171" s="65"/>
      <c r="AC171" s="65"/>
      <c r="AD171" s="65"/>
      <c r="AE171" s="65"/>
      <c r="AF171" s="65"/>
    </row>
    <row r="172" spans="2:32" ht="19.5" x14ac:dyDescent="0.4">
      <c r="B172" s="64" t="s">
        <v>439</v>
      </c>
      <c r="C172" s="105" t="str">
        <f>ONLINE!B16</f>
        <v>NASIB ABDALA</v>
      </c>
      <c r="D172" s="65"/>
      <c r="E172" s="65"/>
      <c r="F172" s="65"/>
      <c r="G172" s="65"/>
      <c r="H172" s="65"/>
      <c r="I172" s="65"/>
      <c r="J172" s="65"/>
      <c r="K172" s="65" t="s">
        <v>220</v>
      </c>
      <c r="L172" s="65"/>
      <c r="M172" s="65"/>
      <c r="N172" s="65"/>
      <c r="O172" s="65"/>
      <c r="P172" s="65"/>
      <c r="Q172" s="65"/>
      <c r="R172" s="100"/>
      <c r="S172" s="138"/>
      <c r="T172" s="145"/>
      <c r="U172" s="151"/>
      <c r="V172" s="120"/>
      <c r="W172" s="115"/>
      <c r="X172" s="109"/>
      <c r="Y172" s="127"/>
      <c r="Z172" s="65"/>
      <c r="AA172" s="65"/>
      <c r="AB172" s="65"/>
      <c r="AC172" s="65"/>
      <c r="AD172" s="65"/>
      <c r="AE172" s="65"/>
      <c r="AF172" s="65"/>
    </row>
    <row r="173" spans="2:32" ht="19.5" x14ac:dyDescent="0.4">
      <c r="B173" s="64" t="s">
        <v>440</v>
      </c>
      <c r="C173" s="65" t="s">
        <v>724</v>
      </c>
      <c r="D173" s="65" t="s">
        <v>725</v>
      </c>
      <c r="E173" s="65"/>
      <c r="F173" s="65"/>
      <c r="G173" s="65"/>
      <c r="H173" s="65"/>
      <c r="I173" s="65"/>
      <c r="J173" s="65"/>
      <c r="K173" s="65" t="s">
        <v>220</v>
      </c>
      <c r="L173" s="65"/>
      <c r="M173" s="65"/>
      <c r="N173" s="65"/>
      <c r="O173" s="65"/>
      <c r="P173" s="65"/>
      <c r="Q173" s="65"/>
      <c r="R173" s="100"/>
      <c r="S173" s="138"/>
      <c r="T173" s="145"/>
      <c r="U173" s="151"/>
      <c r="V173" s="120"/>
      <c r="W173" s="115"/>
      <c r="X173" s="110">
        <v>1000</v>
      </c>
      <c r="Y173" s="127"/>
      <c r="Z173" s="65"/>
      <c r="AA173" s="65"/>
      <c r="AB173" s="65"/>
      <c r="AC173" s="65"/>
      <c r="AD173" s="65"/>
      <c r="AE173" s="65"/>
      <c r="AF173" s="65"/>
    </row>
    <row r="174" spans="2:32" ht="19.5" x14ac:dyDescent="0.4">
      <c r="B174" s="64" t="s">
        <v>441</v>
      </c>
      <c r="C174" s="65" t="s">
        <v>726</v>
      </c>
      <c r="D174" s="65" t="s">
        <v>727</v>
      </c>
      <c r="E174" s="65"/>
      <c r="F174" s="65"/>
      <c r="G174" s="65"/>
      <c r="H174" s="65"/>
      <c r="I174" s="65"/>
      <c r="J174" s="65"/>
      <c r="K174" s="65" t="s">
        <v>220</v>
      </c>
      <c r="L174" s="65"/>
      <c r="M174" s="65"/>
      <c r="N174" s="65"/>
      <c r="O174" s="65"/>
      <c r="P174" s="65"/>
      <c r="Q174" s="65"/>
      <c r="R174" s="100"/>
      <c r="S174" s="138"/>
      <c r="T174" s="145"/>
      <c r="U174" s="151"/>
      <c r="V174" s="120"/>
      <c r="W174" s="115"/>
      <c r="X174" s="110">
        <v>4000</v>
      </c>
      <c r="Y174" s="127"/>
      <c r="Z174" s="65"/>
      <c r="AA174" s="65"/>
      <c r="AB174" s="65"/>
      <c r="AC174" s="65"/>
      <c r="AD174" s="65"/>
      <c r="AE174" s="65"/>
      <c r="AF174" s="65"/>
    </row>
    <row r="175" spans="2:32" ht="19.5" x14ac:dyDescent="0.4">
      <c r="B175" s="64" t="s">
        <v>442</v>
      </c>
      <c r="C175" s="65" t="s">
        <v>735</v>
      </c>
      <c r="D175" s="65" t="s">
        <v>736</v>
      </c>
      <c r="E175" s="65"/>
      <c r="F175" s="65"/>
      <c r="G175" s="65"/>
      <c r="H175" s="65"/>
      <c r="I175" s="65"/>
      <c r="J175" s="65"/>
      <c r="K175" s="65" t="s">
        <v>220</v>
      </c>
      <c r="L175" s="65"/>
      <c r="M175" s="65"/>
      <c r="N175" s="65"/>
      <c r="O175" s="65"/>
      <c r="P175" s="65"/>
      <c r="Q175" s="65"/>
      <c r="R175" s="100"/>
      <c r="S175" s="138"/>
      <c r="T175" s="145"/>
      <c r="U175" s="151"/>
      <c r="V175" s="120"/>
      <c r="W175" s="115"/>
      <c r="X175" s="110">
        <v>6000</v>
      </c>
      <c r="Y175" s="127"/>
      <c r="Z175" s="65"/>
      <c r="AA175" s="65"/>
      <c r="AB175" s="65"/>
      <c r="AC175" s="65"/>
      <c r="AD175" s="65"/>
      <c r="AE175" s="65"/>
      <c r="AF175" s="65"/>
    </row>
    <row r="176" spans="2:32" ht="19.5" x14ac:dyDescent="0.4">
      <c r="B176" s="64" t="s">
        <v>443</v>
      </c>
      <c r="C176" s="65" t="s">
        <v>737</v>
      </c>
      <c r="D176" s="65" t="s">
        <v>738</v>
      </c>
      <c r="E176" s="65"/>
      <c r="F176" s="65"/>
      <c r="G176" s="65"/>
      <c r="H176" s="65"/>
      <c r="I176" s="65"/>
      <c r="J176" s="65"/>
      <c r="K176" s="65" t="s">
        <v>220</v>
      </c>
      <c r="L176" s="65"/>
      <c r="M176" s="65"/>
      <c r="N176" s="65"/>
      <c r="O176" s="65"/>
      <c r="P176" s="65"/>
      <c r="Q176" s="65"/>
      <c r="R176" s="100"/>
      <c r="S176" s="138"/>
      <c r="T176" s="145"/>
      <c r="U176" s="151"/>
      <c r="V176" s="120"/>
      <c r="W176" s="115"/>
      <c r="X176" s="110">
        <v>5000</v>
      </c>
      <c r="Y176" s="127"/>
      <c r="Z176" s="65"/>
      <c r="AA176" s="65"/>
      <c r="AB176" s="65"/>
      <c r="AC176" s="65"/>
      <c r="AD176" s="65"/>
      <c r="AE176" s="65"/>
      <c r="AF176" s="65"/>
    </row>
    <row r="177" spans="2:32" ht="19.5" x14ac:dyDescent="0.4">
      <c r="B177" s="64" t="s">
        <v>444</v>
      </c>
      <c r="C177" s="65" t="s">
        <v>739</v>
      </c>
      <c r="D177" s="65" t="s">
        <v>740</v>
      </c>
      <c r="E177" s="65"/>
      <c r="F177" s="65"/>
      <c r="G177" s="65"/>
      <c r="H177" s="65"/>
      <c r="I177" s="65"/>
      <c r="J177" s="65"/>
      <c r="K177" s="65" t="s">
        <v>220</v>
      </c>
      <c r="L177" s="65"/>
      <c r="M177" s="65"/>
      <c r="N177" s="65"/>
      <c r="O177" s="65"/>
      <c r="P177" s="65"/>
      <c r="Q177" s="65"/>
      <c r="R177" s="100"/>
      <c r="S177" s="138"/>
      <c r="T177" s="145"/>
      <c r="U177" s="151"/>
      <c r="V177" s="120"/>
      <c r="W177" s="115"/>
      <c r="X177" s="110">
        <v>1000</v>
      </c>
      <c r="Y177" s="127"/>
      <c r="Z177" s="65"/>
      <c r="AA177" s="65"/>
      <c r="AB177" s="65"/>
      <c r="AC177" s="65"/>
      <c r="AD177" s="65"/>
      <c r="AE177" s="65"/>
      <c r="AF177" s="65"/>
    </row>
    <row r="178" spans="2:32" ht="19.5" x14ac:dyDescent="0.4">
      <c r="B178" s="64" t="s">
        <v>445</v>
      </c>
      <c r="C178" s="65" t="s">
        <v>741</v>
      </c>
      <c r="D178" s="65" t="s">
        <v>742</v>
      </c>
      <c r="E178" s="65"/>
      <c r="F178" s="65"/>
      <c r="G178" s="65"/>
      <c r="H178" s="65"/>
      <c r="I178" s="65"/>
      <c r="J178" s="65"/>
      <c r="K178" s="65" t="s">
        <v>220</v>
      </c>
      <c r="L178" s="65"/>
      <c r="M178" s="65"/>
      <c r="N178" s="65"/>
      <c r="O178" s="65"/>
      <c r="P178" s="65"/>
      <c r="Q178" s="65"/>
      <c r="R178" s="100"/>
      <c r="S178" s="138"/>
      <c r="T178" s="145"/>
      <c r="U178" s="151"/>
      <c r="V178" s="120"/>
      <c r="W178" s="115"/>
      <c r="X178" s="110">
        <v>3000</v>
      </c>
      <c r="Y178" s="127"/>
      <c r="Z178" s="65"/>
      <c r="AA178" s="65"/>
      <c r="AB178" s="65"/>
      <c r="AC178" s="65"/>
      <c r="AD178" s="65"/>
      <c r="AE178" s="65"/>
      <c r="AF178" s="65"/>
    </row>
    <row r="179" spans="2:32" ht="19.5" x14ac:dyDescent="0.4">
      <c r="B179" s="64" t="s">
        <v>446</v>
      </c>
      <c r="C179" s="65" t="s">
        <v>743</v>
      </c>
      <c r="D179" s="65" t="s">
        <v>744</v>
      </c>
      <c r="E179" s="65"/>
      <c r="F179" s="65"/>
      <c r="G179" s="65"/>
      <c r="H179" s="65"/>
      <c r="I179" s="65"/>
      <c r="J179" s="65"/>
      <c r="K179" s="65" t="s">
        <v>220</v>
      </c>
      <c r="L179" s="65"/>
      <c r="M179" s="65"/>
      <c r="N179" s="65"/>
      <c r="O179" s="65"/>
      <c r="P179" s="65"/>
      <c r="Q179" s="65"/>
      <c r="R179" s="100"/>
      <c r="S179" s="138"/>
      <c r="T179" s="145"/>
      <c r="U179" s="151"/>
      <c r="V179" s="120"/>
      <c r="W179" s="115"/>
      <c r="X179" s="110">
        <v>6000</v>
      </c>
      <c r="Y179" s="127"/>
      <c r="Z179" s="65"/>
      <c r="AA179" s="65"/>
      <c r="AB179" s="65"/>
      <c r="AC179" s="65"/>
      <c r="AD179" s="65"/>
      <c r="AE179" s="65"/>
      <c r="AF179" s="65"/>
    </row>
    <row r="180" spans="2:32" ht="19.5" x14ac:dyDescent="0.4">
      <c r="B180" s="64" t="s">
        <v>447</v>
      </c>
      <c r="C180" s="65" t="s">
        <v>745</v>
      </c>
      <c r="D180" s="65" t="s">
        <v>746</v>
      </c>
      <c r="E180" s="65"/>
      <c r="F180" s="65"/>
      <c r="G180" s="65"/>
      <c r="H180" s="65"/>
      <c r="I180" s="65"/>
      <c r="J180" s="65"/>
      <c r="K180" s="65" t="s">
        <v>220</v>
      </c>
      <c r="L180" s="65"/>
      <c r="M180" s="65"/>
      <c r="N180" s="65"/>
      <c r="O180" s="65"/>
      <c r="P180" s="65"/>
      <c r="Q180" s="65"/>
      <c r="R180" s="100"/>
      <c r="S180" s="138"/>
      <c r="T180" s="145"/>
      <c r="U180" s="151"/>
      <c r="V180" s="120"/>
      <c r="W180" s="115"/>
      <c r="X180" s="110">
        <v>6000</v>
      </c>
      <c r="Y180" s="127"/>
      <c r="Z180" s="65"/>
      <c r="AA180" s="65"/>
      <c r="AB180" s="65"/>
      <c r="AC180" s="65"/>
      <c r="AD180" s="65"/>
      <c r="AE180" s="65"/>
      <c r="AF180" s="65"/>
    </row>
    <row r="181" spans="2:32" ht="19.5" x14ac:dyDescent="0.4">
      <c r="B181" s="64" t="s">
        <v>448</v>
      </c>
      <c r="C181" s="65" t="s">
        <v>747</v>
      </c>
      <c r="D181" s="65" t="s">
        <v>748</v>
      </c>
      <c r="E181" s="65"/>
      <c r="F181" s="65"/>
      <c r="G181" s="65"/>
      <c r="H181" s="65"/>
      <c r="I181" s="65"/>
      <c r="J181" s="65"/>
      <c r="K181" s="65" t="s">
        <v>220</v>
      </c>
      <c r="L181" s="65"/>
      <c r="M181" s="65"/>
      <c r="N181" s="65"/>
      <c r="O181" s="65"/>
      <c r="P181" s="65"/>
      <c r="Q181" s="65"/>
      <c r="R181" s="100"/>
      <c r="S181" s="138"/>
      <c r="T181" s="145"/>
      <c r="U181" s="151"/>
      <c r="V181" s="120"/>
      <c r="W181" s="115"/>
      <c r="X181" s="110">
        <v>6000</v>
      </c>
      <c r="Y181" s="127"/>
      <c r="Z181" s="65"/>
      <c r="AA181" s="65"/>
      <c r="AB181" s="65"/>
      <c r="AC181" s="65"/>
      <c r="AD181" s="65"/>
      <c r="AE181" s="65"/>
      <c r="AF181" s="65"/>
    </row>
    <row r="182" spans="2:32" ht="19.5" x14ac:dyDescent="0.4">
      <c r="B182" s="64" t="s">
        <v>449</v>
      </c>
      <c r="C182" s="65" t="s">
        <v>749</v>
      </c>
      <c r="D182" s="65" t="s">
        <v>750</v>
      </c>
      <c r="E182" s="65"/>
      <c r="F182" s="65"/>
      <c r="G182" s="65"/>
      <c r="H182" s="65"/>
      <c r="I182" s="65"/>
      <c r="J182" s="65"/>
      <c r="K182" s="65" t="s">
        <v>220</v>
      </c>
      <c r="L182" s="65"/>
      <c r="M182" s="65"/>
      <c r="N182" s="65"/>
      <c r="O182" s="65"/>
      <c r="P182" s="65"/>
      <c r="Q182" s="65"/>
      <c r="R182" s="100"/>
      <c r="S182" s="138"/>
      <c r="T182" s="145"/>
      <c r="U182" s="151"/>
      <c r="V182" s="120"/>
      <c r="W182" s="115"/>
      <c r="X182" s="109"/>
      <c r="Y182" s="127"/>
      <c r="Z182" s="65"/>
      <c r="AA182" s="65"/>
      <c r="AB182" s="65"/>
      <c r="AC182" s="65"/>
      <c r="AD182" s="65"/>
      <c r="AE182" s="65"/>
      <c r="AF182" s="65"/>
    </row>
    <row r="183" spans="2:32" ht="19.5" x14ac:dyDescent="0.4">
      <c r="B183" s="64" t="s">
        <v>450</v>
      </c>
      <c r="C183" s="65" t="s">
        <v>751</v>
      </c>
      <c r="D183" s="65" t="s">
        <v>752</v>
      </c>
      <c r="E183" s="65" t="s">
        <v>753</v>
      </c>
      <c r="F183" s="65"/>
      <c r="G183" s="65"/>
      <c r="H183" s="65"/>
      <c r="I183" s="65"/>
      <c r="J183" s="65"/>
      <c r="K183" s="65" t="s">
        <v>220</v>
      </c>
      <c r="L183" s="65"/>
      <c r="M183" s="65"/>
      <c r="N183" s="65"/>
      <c r="O183" s="65"/>
      <c r="P183" s="65"/>
      <c r="Q183" s="65"/>
      <c r="R183" s="100"/>
      <c r="S183" s="138"/>
      <c r="T183" s="145"/>
      <c r="U183" s="151"/>
      <c r="V183" s="120"/>
      <c r="W183" s="115"/>
      <c r="X183" s="110">
        <v>1000</v>
      </c>
      <c r="Y183" s="127"/>
      <c r="Z183" s="65"/>
      <c r="AA183" s="65"/>
      <c r="AB183" s="65"/>
      <c r="AC183" s="65"/>
      <c r="AD183" s="65"/>
      <c r="AE183" s="65"/>
      <c r="AF183" s="65"/>
    </row>
    <row r="184" spans="2:32" ht="19.5" x14ac:dyDescent="0.4">
      <c r="B184" s="64" t="s">
        <v>451</v>
      </c>
      <c r="C184" s="65" t="s">
        <v>754</v>
      </c>
      <c r="D184" s="65" t="s">
        <v>738</v>
      </c>
      <c r="E184" s="65"/>
      <c r="F184" s="65"/>
      <c r="G184" s="65"/>
      <c r="H184" s="65"/>
      <c r="I184" s="65"/>
      <c r="J184" s="65"/>
      <c r="K184" s="65" t="s">
        <v>220</v>
      </c>
      <c r="L184" s="65"/>
      <c r="M184" s="65"/>
      <c r="N184" s="65"/>
      <c r="O184" s="65"/>
      <c r="P184" s="65"/>
      <c r="Q184" s="65"/>
      <c r="R184" s="100"/>
      <c r="S184" s="138"/>
      <c r="T184" s="145"/>
      <c r="U184" s="151"/>
      <c r="V184" s="120"/>
      <c r="W184" s="115"/>
      <c r="X184" s="110">
        <v>5000</v>
      </c>
      <c r="Y184" s="127"/>
      <c r="Z184" s="65"/>
      <c r="AA184" s="65"/>
      <c r="AB184" s="65"/>
      <c r="AC184" s="65"/>
      <c r="AD184" s="65"/>
      <c r="AE184" s="65"/>
      <c r="AF184" s="65"/>
    </row>
    <row r="185" spans="2:32" ht="19.5" x14ac:dyDescent="0.4">
      <c r="B185" s="64" t="s">
        <v>452</v>
      </c>
      <c r="C185" s="65" t="s">
        <v>755</v>
      </c>
      <c r="D185" s="65" t="s">
        <v>756</v>
      </c>
      <c r="E185" s="65"/>
      <c r="F185" s="65"/>
      <c r="G185" s="65"/>
      <c r="H185" s="65"/>
      <c r="I185" s="65"/>
      <c r="J185" s="65"/>
      <c r="K185" s="65" t="s">
        <v>220</v>
      </c>
      <c r="L185" s="65"/>
      <c r="M185" s="65"/>
      <c r="N185" s="65"/>
      <c r="O185" s="65"/>
      <c r="P185" s="65"/>
      <c r="Q185" s="65"/>
      <c r="R185" s="100"/>
      <c r="S185" s="138"/>
      <c r="T185" s="145"/>
      <c r="U185" s="151"/>
      <c r="V185" s="120"/>
      <c r="W185" s="115"/>
      <c r="X185" s="110">
        <v>2000</v>
      </c>
      <c r="Y185" s="127"/>
      <c r="Z185" s="65"/>
      <c r="AA185" s="65"/>
      <c r="AB185" s="65"/>
      <c r="AC185" s="65"/>
      <c r="AD185" s="65"/>
      <c r="AE185" s="65"/>
      <c r="AF185" s="65"/>
    </row>
    <row r="186" spans="2:32" ht="19.5" x14ac:dyDescent="0.4">
      <c r="B186" s="64" t="s">
        <v>453</v>
      </c>
      <c r="C186" s="65" t="s">
        <v>757</v>
      </c>
      <c r="D186" s="65" t="s">
        <v>758</v>
      </c>
      <c r="E186" s="65"/>
      <c r="F186" s="65"/>
      <c r="G186" s="65"/>
      <c r="H186" s="65"/>
      <c r="I186" s="65"/>
      <c r="J186" s="65"/>
      <c r="K186" s="65" t="s">
        <v>220</v>
      </c>
      <c r="L186" s="65"/>
      <c r="M186" s="65"/>
      <c r="N186" s="65"/>
      <c r="O186" s="65"/>
      <c r="P186" s="65"/>
      <c r="Q186" s="65"/>
      <c r="R186" s="100"/>
      <c r="S186" s="138"/>
      <c r="T186" s="145"/>
      <c r="U186" s="151"/>
      <c r="V186" s="120"/>
      <c r="W186" s="115"/>
      <c r="X186" s="109"/>
      <c r="Y186" s="127"/>
      <c r="Z186" s="65"/>
      <c r="AA186" s="65"/>
      <c r="AB186" s="65"/>
      <c r="AC186" s="65"/>
      <c r="AD186" s="65"/>
      <c r="AE186" s="65"/>
      <c r="AF186" s="65"/>
    </row>
    <row r="187" spans="2:32" ht="19.5" x14ac:dyDescent="0.4">
      <c r="B187" s="64" t="s">
        <v>454</v>
      </c>
      <c r="C187" s="65" t="s">
        <v>759</v>
      </c>
      <c r="D187" s="65" t="s">
        <v>760</v>
      </c>
      <c r="E187" s="65"/>
      <c r="F187" s="65"/>
      <c r="G187" s="65"/>
      <c r="H187" s="65"/>
      <c r="I187" s="65"/>
      <c r="J187" s="65"/>
      <c r="K187" s="65" t="s">
        <v>220</v>
      </c>
      <c r="L187" s="65"/>
      <c r="M187" s="65"/>
      <c r="N187" s="65"/>
      <c r="O187" s="65"/>
      <c r="P187" s="65"/>
      <c r="Q187" s="65"/>
      <c r="R187" s="100"/>
      <c r="S187" s="138"/>
      <c r="T187" s="145"/>
      <c r="U187" s="151"/>
      <c r="V187" s="120"/>
      <c r="W187" s="115"/>
      <c r="X187" s="110">
        <v>5000</v>
      </c>
      <c r="Y187" s="127"/>
      <c r="Z187" s="65"/>
      <c r="AA187" s="65"/>
      <c r="AB187" s="65"/>
      <c r="AC187" s="65"/>
      <c r="AD187" s="65"/>
      <c r="AE187" s="65"/>
      <c r="AF187" s="65"/>
    </row>
    <row r="188" spans="2:32" ht="19.5" x14ac:dyDescent="0.4">
      <c r="B188" s="64" t="s">
        <v>455</v>
      </c>
      <c r="C188" s="65" t="s">
        <v>773</v>
      </c>
      <c r="D188" s="65" t="s">
        <v>774</v>
      </c>
      <c r="E188" s="65" t="s">
        <v>547</v>
      </c>
      <c r="F188" s="65"/>
      <c r="G188" s="65"/>
      <c r="H188" s="65"/>
      <c r="I188" s="65"/>
      <c r="J188" s="65"/>
      <c r="K188" s="65" t="s">
        <v>107</v>
      </c>
      <c r="L188" s="65"/>
      <c r="M188" s="65"/>
      <c r="N188" s="65"/>
      <c r="O188" s="65"/>
      <c r="P188" s="65"/>
      <c r="Q188" s="65"/>
      <c r="R188" s="100"/>
      <c r="S188" s="138"/>
      <c r="T188" s="145"/>
      <c r="U188" s="151"/>
      <c r="V188" s="120"/>
      <c r="W188" s="115"/>
      <c r="X188" s="110">
        <v>1000</v>
      </c>
      <c r="Y188" s="127"/>
      <c r="Z188" s="65"/>
      <c r="AA188" s="65"/>
      <c r="AB188" s="65"/>
      <c r="AC188" s="65"/>
      <c r="AD188" s="65"/>
      <c r="AE188" s="65"/>
      <c r="AF188" s="65"/>
    </row>
    <row r="189" spans="2:32" ht="19.5" x14ac:dyDescent="0.4">
      <c r="B189" s="64" t="s">
        <v>456</v>
      </c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100"/>
      <c r="S189" s="138"/>
      <c r="T189" s="145"/>
      <c r="U189" s="151"/>
      <c r="V189" s="120"/>
      <c r="W189" s="115"/>
      <c r="X189" s="109" t="s">
        <v>777</v>
      </c>
      <c r="Y189" s="127"/>
      <c r="Z189" s="65"/>
      <c r="AA189" s="65"/>
      <c r="AB189" s="65"/>
      <c r="AC189" s="65"/>
      <c r="AD189" s="65"/>
      <c r="AE189" s="65"/>
      <c r="AF189" s="65"/>
    </row>
    <row r="190" spans="2:32" ht="19.5" x14ac:dyDescent="0.4">
      <c r="B190" s="64" t="s">
        <v>457</v>
      </c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100"/>
      <c r="S190" s="138"/>
      <c r="T190" s="145"/>
      <c r="U190" s="151"/>
      <c r="V190" s="120"/>
      <c r="W190" s="115"/>
      <c r="X190" s="109"/>
      <c r="Y190" s="127"/>
      <c r="Z190" s="65"/>
      <c r="AA190" s="65"/>
      <c r="AB190" s="65"/>
      <c r="AC190" s="65"/>
      <c r="AD190" s="65"/>
      <c r="AE190" s="65"/>
      <c r="AF190" s="65"/>
    </row>
    <row r="191" spans="2:32" ht="19.5" x14ac:dyDescent="0.4">
      <c r="B191" s="64" t="s">
        <v>458</v>
      </c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100"/>
      <c r="S191" s="138"/>
      <c r="T191" s="145"/>
      <c r="U191" s="151"/>
      <c r="V191" s="120"/>
      <c r="W191" s="115"/>
      <c r="X191" s="109"/>
      <c r="Y191" s="127"/>
      <c r="Z191" s="65"/>
      <c r="AA191" s="65"/>
      <c r="AB191" s="65"/>
      <c r="AC191" s="65"/>
      <c r="AD191" s="65"/>
      <c r="AE191" s="65"/>
      <c r="AF191" s="65"/>
    </row>
    <row r="192" spans="2:32" ht="19.5" x14ac:dyDescent="0.4">
      <c r="B192" s="64" t="s">
        <v>459</v>
      </c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100"/>
      <c r="S192" s="138"/>
      <c r="T192" s="145"/>
      <c r="U192" s="151"/>
      <c r="V192" s="120"/>
      <c r="W192" s="115"/>
      <c r="X192" s="109"/>
      <c r="Y192" s="127"/>
      <c r="Z192" s="65"/>
      <c r="AA192" s="65"/>
      <c r="AB192" s="65"/>
      <c r="AC192" s="65"/>
      <c r="AD192" s="65"/>
      <c r="AE192" s="65"/>
      <c r="AF192" s="65"/>
    </row>
    <row r="193" spans="2:32" ht="19.5" x14ac:dyDescent="0.4">
      <c r="B193" s="64" t="s">
        <v>460</v>
      </c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100"/>
      <c r="S193" s="138"/>
      <c r="T193" s="145"/>
      <c r="U193" s="151"/>
      <c r="V193" s="120"/>
      <c r="W193" s="115"/>
      <c r="X193" s="109"/>
      <c r="Y193" s="127"/>
      <c r="Z193" s="65"/>
      <c r="AA193" s="65"/>
      <c r="AB193" s="65"/>
      <c r="AC193" s="65"/>
      <c r="AD193" s="65"/>
      <c r="AE193" s="65"/>
      <c r="AF193" s="65"/>
    </row>
    <row r="194" spans="2:32" ht="19.5" x14ac:dyDescent="0.4">
      <c r="B194" s="64" t="s">
        <v>461</v>
      </c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100"/>
      <c r="S194" s="138"/>
      <c r="T194" s="145"/>
      <c r="U194" s="151"/>
      <c r="V194" s="120"/>
      <c r="W194" s="115"/>
      <c r="X194" s="109"/>
      <c r="Y194" s="127"/>
      <c r="Z194" s="65"/>
      <c r="AA194" s="65"/>
      <c r="AB194" s="65"/>
      <c r="AC194" s="65"/>
      <c r="AD194" s="65"/>
      <c r="AE194" s="65"/>
      <c r="AF194" s="65"/>
    </row>
    <row r="195" spans="2:32" ht="19.5" x14ac:dyDescent="0.4">
      <c r="B195" s="64" t="s">
        <v>462</v>
      </c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100"/>
      <c r="S195" s="138"/>
      <c r="T195" s="145"/>
      <c r="U195" s="151"/>
      <c r="V195" s="120"/>
      <c r="W195" s="115"/>
      <c r="X195" s="109"/>
      <c r="Y195" s="127"/>
      <c r="Z195" s="65"/>
      <c r="AA195" s="65"/>
      <c r="AB195" s="65"/>
      <c r="AC195" s="65"/>
      <c r="AD195" s="65"/>
      <c r="AE195" s="65"/>
      <c r="AF195" s="65"/>
    </row>
    <row r="196" spans="2:32" ht="19.5" x14ac:dyDescent="0.4">
      <c r="B196" s="64" t="s">
        <v>463</v>
      </c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100"/>
      <c r="S196" s="138"/>
      <c r="T196" s="145"/>
      <c r="U196" s="151"/>
      <c r="V196" s="120"/>
      <c r="W196" s="115"/>
      <c r="X196" s="109"/>
      <c r="Y196" s="127"/>
      <c r="Z196" s="65"/>
      <c r="AA196" s="65"/>
      <c r="AB196" s="65"/>
      <c r="AC196" s="65"/>
      <c r="AD196" s="65"/>
      <c r="AE196" s="65"/>
      <c r="AF196" s="65"/>
    </row>
    <row r="197" spans="2:32" ht="19.5" x14ac:dyDescent="0.4">
      <c r="B197" s="64" t="s">
        <v>464</v>
      </c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100"/>
      <c r="S197" s="138"/>
      <c r="T197" s="145"/>
      <c r="U197" s="151"/>
      <c r="V197" s="120"/>
      <c r="W197" s="115"/>
      <c r="X197" s="109"/>
      <c r="Y197" s="127"/>
      <c r="Z197" s="65"/>
      <c r="AA197" s="65"/>
      <c r="AB197" s="65"/>
      <c r="AC197" s="65"/>
      <c r="AD197" s="65"/>
      <c r="AE197" s="65"/>
      <c r="AF197" s="65"/>
    </row>
    <row r="198" spans="2:32" ht="19.5" x14ac:dyDescent="0.4">
      <c r="B198" s="64" t="s">
        <v>465</v>
      </c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100"/>
      <c r="S198" s="138"/>
      <c r="T198" s="145"/>
      <c r="U198" s="151"/>
      <c r="V198" s="120"/>
      <c r="W198" s="115"/>
      <c r="X198" s="109"/>
      <c r="Y198" s="127"/>
      <c r="Z198" s="65"/>
      <c r="AA198" s="65"/>
      <c r="AB198" s="65"/>
      <c r="AC198" s="65"/>
      <c r="AD198" s="65"/>
      <c r="AE198" s="65"/>
      <c r="AF198" s="65"/>
    </row>
    <row r="199" spans="2:32" ht="19.5" x14ac:dyDescent="0.4">
      <c r="B199" s="64" t="s">
        <v>466</v>
      </c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100"/>
      <c r="S199" s="138"/>
      <c r="T199" s="145"/>
      <c r="U199" s="151"/>
      <c r="V199" s="120"/>
      <c r="W199" s="115"/>
      <c r="X199" s="109"/>
      <c r="Y199" s="127"/>
      <c r="Z199" s="65"/>
      <c r="AA199" s="65"/>
      <c r="AB199" s="65"/>
      <c r="AC199" s="65"/>
      <c r="AD199" s="65"/>
      <c r="AE199" s="65"/>
      <c r="AF199" s="65"/>
    </row>
    <row r="200" spans="2:32" ht="20.25" thickBot="1" x14ac:dyDescent="0.45">
      <c r="B200" s="64" t="s">
        <v>467</v>
      </c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135"/>
      <c r="S200" s="141"/>
      <c r="T200" s="147"/>
      <c r="U200" s="153"/>
      <c r="V200" s="123"/>
      <c r="W200" s="117"/>
      <c r="X200" s="109"/>
      <c r="Y200" s="127"/>
      <c r="Z200" s="65"/>
      <c r="AA200" s="65"/>
      <c r="AB200" s="65"/>
      <c r="AC200" s="65"/>
      <c r="AD200" s="65"/>
      <c r="AE200" s="65"/>
      <c r="AF200" s="65"/>
    </row>
    <row r="201" spans="2:32" ht="20.25" thickBot="1" x14ac:dyDescent="0.45">
      <c r="B201" s="64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136"/>
      <c r="S201" s="142"/>
      <c r="T201" s="148"/>
      <c r="U201" s="154"/>
      <c r="V201" s="124"/>
      <c r="W201" s="118"/>
      <c r="X201" s="112"/>
      <c r="Y201" s="129"/>
      <c r="Z201" s="76"/>
      <c r="AA201" s="76"/>
      <c r="AB201" s="65"/>
      <c r="AC201" s="65"/>
      <c r="AD201" s="65"/>
      <c r="AE201" s="65"/>
      <c r="AF201" s="65"/>
    </row>
    <row r="202" spans="2:32" ht="20.25" thickBot="1" x14ac:dyDescent="0.45">
      <c r="B202" s="64"/>
      <c r="X202" s="113"/>
      <c r="Y202" s="130"/>
      <c r="Z202" s="73"/>
      <c r="AA202" s="73"/>
      <c r="AB202" s="76"/>
      <c r="AC202" s="76"/>
      <c r="AD202" s="76"/>
      <c r="AE202" s="76"/>
      <c r="AF202" s="76"/>
    </row>
    <row r="203" spans="2:32" ht="19.5" x14ac:dyDescent="0.4">
      <c r="B203" s="64"/>
      <c r="AB203" s="73"/>
      <c r="AC203" s="73"/>
      <c r="AD203" s="73"/>
      <c r="AE203" s="73"/>
      <c r="AF203" s="73"/>
    </row>
    <row r="204" spans="2:32" ht="20.25" thickBot="1" x14ac:dyDescent="0.45">
      <c r="B204" s="75"/>
    </row>
    <row r="205" spans="2:32" x14ac:dyDescent="0.25">
      <c r="B205" s="72"/>
    </row>
    <row r="497" spans="5:5" x14ac:dyDescent="0.25">
      <c r="E497" s="62" t="s">
        <v>605</v>
      </c>
    </row>
    <row r="652" spans="5:5" x14ac:dyDescent="0.25">
      <c r="E652" s="57" t="s">
        <v>606</v>
      </c>
    </row>
    <row r="653" spans="5:5" x14ac:dyDescent="0.25">
      <c r="E653" s="57" t="s">
        <v>607</v>
      </c>
    </row>
    <row r="659" spans="5:5" x14ac:dyDescent="0.25">
      <c r="E659" s="62" t="s">
        <v>608</v>
      </c>
    </row>
  </sheetData>
  <sortState ref="A2:I118">
    <sortCondition ref="B9:B118"/>
  </sortState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zoomScaleNormal="90" workbookViewId="0">
      <pane ySplit="1" topLeftCell="A2" activePane="bottomLeft" state="frozen"/>
      <selection activeCell="B1" sqref="B1"/>
      <selection pane="bottomLeft" activeCell="A16" sqref="A16"/>
    </sheetView>
  </sheetViews>
  <sheetFormatPr defaultRowHeight="15" x14ac:dyDescent="0.25"/>
  <cols>
    <col min="2" max="2" width="23" customWidth="1"/>
    <col min="3" max="3" width="3.42578125" hidden="1" customWidth="1"/>
    <col min="4" max="4" width="5.5703125" customWidth="1"/>
    <col min="5" max="5" width="14.42578125" customWidth="1"/>
    <col min="6" max="6" width="15.140625" customWidth="1"/>
    <col min="7" max="7" width="17.5703125" customWidth="1"/>
    <col min="8" max="8" width="14.5703125" customWidth="1"/>
    <col min="9" max="9" width="11.140625" customWidth="1"/>
    <col min="10" max="10" width="10.28515625" customWidth="1"/>
  </cols>
  <sheetData>
    <row r="1" spans="2:10" s="97" customFormat="1" x14ac:dyDescent="0.25">
      <c r="B1" s="98" t="s">
        <v>1</v>
      </c>
      <c r="C1" s="98"/>
      <c r="D1" s="98" t="s">
        <v>719</v>
      </c>
      <c r="E1" s="98" t="s">
        <v>718</v>
      </c>
      <c r="F1" s="98" t="s">
        <v>717</v>
      </c>
      <c r="G1" s="98" t="s">
        <v>716</v>
      </c>
      <c r="H1" s="98" t="s">
        <v>715</v>
      </c>
      <c r="I1" s="98" t="s">
        <v>714</v>
      </c>
      <c r="J1" s="98" t="s">
        <v>35</v>
      </c>
    </row>
    <row r="2" spans="2:10" s="96" customFormat="1" ht="13.5" customHeight="1" x14ac:dyDescent="0.25">
      <c r="B2" s="95" t="s">
        <v>184</v>
      </c>
      <c r="C2" s="95"/>
      <c r="D2" s="95" t="s">
        <v>6</v>
      </c>
      <c r="E2" s="95" t="s">
        <v>713</v>
      </c>
      <c r="F2" s="95" t="s">
        <v>587</v>
      </c>
      <c r="G2" s="94">
        <v>1000</v>
      </c>
      <c r="H2" s="94">
        <v>10000</v>
      </c>
      <c r="I2" s="94">
        <v>5000</v>
      </c>
      <c r="J2" s="93">
        <f t="shared" ref="J2:J12" si="0">H2-I2</f>
        <v>5000</v>
      </c>
    </row>
    <row r="3" spans="2:10" ht="13.5" customHeight="1" x14ac:dyDescent="0.25">
      <c r="B3" s="92" t="s">
        <v>225</v>
      </c>
      <c r="C3" s="92"/>
      <c r="D3" s="92" t="s">
        <v>159</v>
      </c>
      <c r="E3" s="92" t="s">
        <v>712</v>
      </c>
      <c r="F3" s="92" t="s">
        <v>705</v>
      </c>
      <c r="G3" s="91">
        <v>1000</v>
      </c>
      <c r="H3" s="91">
        <v>30000</v>
      </c>
      <c r="I3" s="91">
        <v>8000</v>
      </c>
      <c r="J3" s="90">
        <f t="shared" si="0"/>
        <v>22000</v>
      </c>
    </row>
    <row r="4" spans="2:10" ht="13.5" customHeight="1" x14ac:dyDescent="0.25">
      <c r="B4" s="95" t="s">
        <v>229</v>
      </c>
      <c r="C4" s="95"/>
      <c r="D4" s="95" t="s">
        <v>6</v>
      </c>
      <c r="E4" s="95" t="s">
        <v>220</v>
      </c>
      <c r="F4" s="95" t="s">
        <v>587</v>
      </c>
      <c r="G4" s="94">
        <v>1000</v>
      </c>
      <c r="H4" s="94">
        <v>10000</v>
      </c>
      <c r="I4" s="94">
        <v>5000</v>
      </c>
      <c r="J4" s="93">
        <f t="shared" si="0"/>
        <v>5000</v>
      </c>
    </row>
    <row r="5" spans="2:10" ht="13.5" customHeight="1" x14ac:dyDescent="0.25">
      <c r="B5" s="92" t="s">
        <v>230</v>
      </c>
      <c r="C5" s="92"/>
      <c r="D5" s="92" t="s">
        <v>159</v>
      </c>
      <c r="E5" s="92" t="s">
        <v>220</v>
      </c>
      <c r="F5" s="92" t="s">
        <v>711</v>
      </c>
      <c r="G5" s="91">
        <v>0</v>
      </c>
      <c r="H5" s="91">
        <v>40000</v>
      </c>
      <c r="I5" s="91">
        <v>42550</v>
      </c>
      <c r="J5" s="90">
        <f t="shared" si="0"/>
        <v>-2550</v>
      </c>
    </row>
    <row r="6" spans="2:10" x14ac:dyDescent="0.25">
      <c r="B6" s="88" t="s">
        <v>710</v>
      </c>
      <c r="C6" s="88"/>
      <c r="D6" s="88" t="s">
        <v>6</v>
      </c>
      <c r="E6" s="88" t="s">
        <v>708</v>
      </c>
      <c r="F6" s="88" t="s">
        <v>587</v>
      </c>
      <c r="G6" s="86">
        <v>0</v>
      </c>
      <c r="H6" s="87">
        <v>10000</v>
      </c>
      <c r="I6" s="87">
        <v>0</v>
      </c>
      <c r="J6" s="89">
        <f t="shared" si="0"/>
        <v>10000</v>
      </c>
    </row>
    <row r="7" spans="2:10" x14ac:dyDescent="0.25">
      <c r="B7" s="88" t="s">
        <v>709</v>
      </c>
      <c r="C7" s="88"/>
      <c r="D7" s="88" t="s">
        <v>6</v>
      </c>
      <c r="E7" s="88" t="s">
        <v>708</v>
      </c>
      <c r="F7" s="88" t="s">
        <v>587</v>
      </c>
      <c r="G7" s="86">
        <v>0</v>
      </c>
      <c r="H7" s="87">
        <v>10000</v>
      </c>
      <c r="I7" s="87">
        <v>0</v>
      </c>
      <c r="J7" s="89">
        <f t="shared" si="0"/>
        <v>10000</v>
      </c>
    </row>
    <row r="8" spans="2:10" x14ac:dyDescent="0.25">
      <c r="B8" s="88" t="s">
        <v>707</v>
      </c>
      <c r="C8" s="88"/>
      <c r="D8" s="88" t="s">
        <v>6</v>
      </c>
      <c r="E8" s="88" t="s">
        <v>220</v>
      </c>
      <c r="F8" s="88" t="s">
        <v>705</v>
      </c>
      <c r="G8" s="87">
        <v>1000</v>
      </c>
      <c r="H8" s="87">
        <v>10000</v>
      </c>
      <c r="I8" s="87">
        <v>4000</v>
      </c>
      <c r="J8" s="86">
        <f t="shared" si="0"/>
        <v>6000</v>
      </c>
    </row>
    <row r="9" spans="2:10" x14ac:dyDescent="0.25">
      <c r="B9" s="85" t="s">
        <v>706</v>
      </c>
      <c r="C9" s="85"/>
      <c r="D9" s="85" t="s">
        <v>6</v>
      </c>
      <c r="E9" s="85" t="s">
        <v>220</v>
      </c>
      <c r="F9" s="85" t="s">
        <v>705</v>
      </c>
      <c r="G9" s="83">
        <v>1000</v>
      </c>
      <c r="H9" s="83">
        <v>10000</v>
      </c>
      <c r="I9" s="83">
        <v>5000</v>
      </c>
      <c r="J9" s="82">
        <f t="shared" si="0"/>
        <v>5000</v>
      </c>
    </row>
    <row r="10" spans="2:10" x14ac:dyDescent="0.25">
      <c r="B10" s="85" t="s">
        <v>704</v>
      </c>
      <c r="C10" s="85"/>
      <c r="D10" s="85" t="s">
        <v>6</v>
      </c>
      <c r="E10" s="85" t="s">
        <v>220</v>
      </c>
      <c r="F10" s="85" t="s">
        <v>587</v>
      </c>
      <c r="G10" s="84">
        <v>1000</v>
      </c>
      <c r="H10" s="83">
        <v>10000</v>
      </c>
      <c r="I10" s="83">
        <v>30000</v>
      </c>
      <c r="J10" s="82">
        <f t="shared" si="0"/>
        <v>-20000</v>
      </c>
    </row>
    <row r="11" spans="2:10" x14ac:dyDescent="0.25">
      <c r="B11" s="85" t="s">
        <v>703</v>
      </c>
      <c r="C11" s="85"/>
      <c r="D11" s="85" t="s">
        <v>6</v>
      </c>
      <c r="E11" s="85" t="s">
        <v>220</v>
      </c>
      <c r="F11" s="85" t="s">
        <v>587</v>
      </c>
      <c r="G11" s="84">
        <v>1000</v>
      </c>
      <c r="H11" s="83">
        <v>10000</v>
      </c>
      <c r="I11" s="83">
        <v>5000</v>
      </c>
      <c r="J11" s="82">
        <f t="shared" si="0"/>
        <v>5000</v>
      </c>
    </row>
    <row r="12" spans="2:10" x14ac:dyDescent="0.25">
      <c r="B12" s="85" t="s">
        <v>702</v>
      </c>
      <c r="C12" s="85"/>
      <c r="D12" s="85" t="s">
        <v>6</v>
      </c>
      <c r="E12" s="85" t="s">
        <v>220</v>
      </c>
      <c r="F12" s="85" t="s">
        <v>587</v>
      </c>
      <c r="G12" s="84">
        <v>1000</v>
      </c>
      <c r="H12" s="83">
        <v>10000</v>
      </c>
      <c r="I12" s="83">
        <v>10000</v>
      </c>
      <c r="J12" s="82">
        <f t="shared" si="0"/>
        <v>0</v>
      </c>
    </row>
    <row r="13" spans="2:10" x14ac:dyDescent="0.25">
      <c r="B13" s="85" t="s">
        <v>701</v>
      </c>
      <c r="C13" s="85"/>
      <c r="D13" s="85" t="s">
        <v>6</v>
      </c>
      <c r="E13" s="85" t="s">
        <v>220</v>
      </c>
      <c r="F13" s="85" t="s">
        <v>587</v>
      </c>
      <c r="G13" s="84">
        <v>1000</v>
      </c>
      <c r="H13" s="83">
        <v>10000</v>
      </c>
      <c r="I13" s="83">
        <v>5000</v>
      </c>
      <c r="J13" s="82">
        <v>10000</v>
      </c>
    </row>
    <row r="14" spans="2:10" x14ac:dyDescent="0.25">
      <c r="B14" s="85" t="s">
        <v>700</v>
      </c>
      <c r="C14" s="85"/>
      <c r="D14" s="85" t="s">
        <v>156</v>
      </c>
      <c r="E14" s="85" t="s">
        <v>220</v>
      </c>
      <c r="F14" s="85" t="s">
        <v>699</v>
      </c>
      <c r="G14" s="84">
        <v>1000</v>
      </c>
      <c r="H14" s="83">
        <v>22500</v>
      </c>
      <c r="I14" s="83">
        <v>5000</v>
      </c>
      <c r="J14" s="82">
        <f>H14-I14</f>
        <v>17500</v>
      </c>
    </row>
    <row r="15" spans="2:10" x14ac:dyDescent="0.25">
      <c r="B15" s="85" t="s">
        <v>698</v>
      </c>
      <c r="C15" s="85"/>
      <c r="D15" s="85" t="s">
        <v>159</v>
      </c>
      <c r="E15" s="85" t="s">
        <v>220</v>
      </c>
      <c r="F15" s="85" t="s">
        <v>697</v>
      </c>
      <c r="G15" s="84">
        <v>1000</v>
      </c>
      <c r="H15" s="83">
        <v>10000</v>
      </c>
      <c r="I15" s="83">
        <v>2500</v>
      </c>
      <c r="J15" s="82">
        <f>H15-I15</f>
        <v>7500</v>
      </c>
    </row>
    <row r="16" spans="2:10" x14ac:dyDescent="0.25">
      <c r="B16" s="85" t="s">
        <v>696</v>
      </c>
      <c r="C16" s="85"/>
      <c r="D16" s="85" t="s">
        <v>6</v>
      </c>
      <c r="E16" s="85" t="s">
        <v>220</v>
      </c>
      <c r="F16" s="85" t="s">
        <v>587</v>
      </c>
      <c r="G16" s="84">
        <v>1000</v>
      </c>
      <c r="H16" s="83">
        <v>10000</v>
      </c>
      <c r="I16" s="83">
        <v>5000</v>
      </c>
      <c r="J16" s="82">
        <f>H16-I16</f>
        <v>5000</v>
      </c>
    </row>
    <row r="17" spans="2:10" s="78" customFormat="1" ht="15.75" thickBot="1" x14ac:dyDescent="0.3">
      <c r="B17" s="81"/>
      <c r="C17" s="81"/>
      <c r="D17" s="81"/>
      <c r="E17" s="81"/>
      <c r="F17" s="80" t="s">
        <v>695</v>
      </c>
      <c r="G17" s="79">
        <f>SUM(G2:G16)</f>
        <v>12000</v>
      </c>
      <c r="H17" s="79">
        <f>SUM(H2:H16)</f>
        <v>212500</v>
      </c>
      <c r="I17" s="79">
        <f>SUM(I2:I16)</f>
        <v>132050</v>
      </c>
      <c r="J17" s="79">
        <f>SUM(J2:J16)</f>
        <v>85450</v>
      </c>
    </row>
    <row r="18" spans="2:10" ht="15.75" thickTop="1" x14ac:dyDescent="0.25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FEES PAYMENT STATUS</vt:lpstr>
      <vt:lpstr>FULL STUDENT LIST</vt:lpstr>
      <vt:lpstr>ONLINE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2025-06-26T08:18:43Z</dcterms:created>
  <dcterms:modified xsi:type="dcterms:W3CDTF">2026-06-04T06:21:19Z</dcterms:modified>
</cp:coreProperties>
</file>